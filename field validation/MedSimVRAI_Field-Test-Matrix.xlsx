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 Matrix" sheetId="2" state="visible" r:id="rId2"/>
    <sheet name="Issue Log" sheetId="3" state="visible" r:id="rId3"/>
    <sheet name="Coverage" sheetId="4" state="visible" r:id="rId4"/>
    <sheet name="Enviro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A234F"/>
      <sz val="14"/>
    </font>
    <font>
      <b val="1"/>
      <color rgb="000A234F"/>
    </font>
    <font>
      <b val="1"/>
      <color rgb="00FFFFFF"/>
      <sz val="10"/>
    </font>
    <font>
      <b val="1"/>
      <color rgb="00A02020"/>
    </font>
    <font>
      <i val="1"/>
      <color rgb="00888888"/>
    </font>
    <font>
      <b val="1"/>
    </font>
  </fonts>
  <fills count="4">
    <fill>
      <patternFill/>
    </fill>
    <fill>
      <patternFill patternType="gray125"/>
    </fill>
    <fill>
      <patternFill patternType="solid">
        <fgColor rgb="00143B8A"/>
      </patternFill>
    </fill>
    <fill>
      <patternFill patternType="solid">
        <fgColor rgb="000A234F"/>
      </patternFill>
    </fill>
  </fills>
  <borders count="2">
    <border>
      <left/>
      <right/>
      <top/>
      <bottom/>
      <diagonal/>
    </border>
    <border>
      <left style="thin">
        <color rgb="00C3CEDD"/>
      </left>
      <right style="thin">
        <color rgb="00C3CEDD"/>
      </right>
      <top style="thin">
        <color rgb="00C3CEDD"/>
      </top>
      <bottom style="thin">
        <color rgb="00C3CE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9" fontId="6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MedSim VRAI — Field Test Matrix</t>
        </is>
      </c>
      <c r="B1" s="2" t="inlineStr"/>
    </row>
    <row r="2">
      <c r="A2" s="3" t="inlineStr">
        <is>
          <t>How to run</t>
        </is>
      </c>
      <c r="B2" s="2" t="inlineStr">
        <is>
          <t>Work the 'Test Matrix' sheet area by area. Set Result (Pass / Fail / Blocked / Not run / N-A), initials, date, Notes. Leave NO P1 row 'Not run' before sign-off.</t>
        </is>
      </c>
    </row>
    <row r="3">
      <c r="A3" s="3" t="inlineStr">
        <is>
          <t>Priorities</t>
        </is>
      </c>
      <c r="B3" s="2" t="inlineStr">
        <is>
          <t>P1 must pass before broader rollout · P2 important · P3 edge. The Device(s) column shows the hardware each test needs.</t>
        </is>
      </c>
    </row>
    <row r="4">
      <c r="A4" s="3" t="inlineStr">
        <is>
          <t>When a test fails</t>
        </is>
      </c>
      <c r="B4" s="2" t="inlineStr">
        <is>
          <t>Add a row to 'Issue Log': Title, Steps to reproduce, Expected, Actual, Environment, Severity, link the Test ID, Status = New.</t>
        </is>
      </c>
    </row>
    <row r="5">
      <c r="A5" s="3" t="inlineStr">
        <is>
          <t>➜ Feeding issues to Claude</t>
        </is>
      </c>
      <c r="B5" s="2" t="inlineStr">
        <is>
          <t>The Issue Log columns are ORDERED to give Claude full context. To get a fix: filter Status = New, copy the rows (incl. header), paste into Claude Code with 'Fix these field-test issues:' + paste. Claude triages, fixes, gates, and replies with the commit; set Status Fixed → Verified after you retest.</t>
        </is>
      </c>
    </row>
    <row r="6">
      <c r="A6" s="3" t="inlineStr">
        <is>
          <t>Coverage</t>
        </is>
      </c>
      <c r="B6" s="2" t="inlineStr">
        <is>
          <t>The 'Coverage' sheet rolls up Pass/Fail per area (live formulas) so gaps are visible. 'Environment' tracks the tablets/OS/browsers used.</t>
        </is>
      </c>
    </row>
    <row r="7">
      <c r="A7" s="3" t="inlineStr">
        <is>
          <t>Pre-flight</t>
        </is>
      </c>
      <c r="B7" s="2" t="inlineStr">
        <is>
          <t>Run scripts/preflight.sh (6/6) before any tablet session. Area A (network/cert) gates everything else.</t>
        </is>
      </c>
    </row>
    <row r="8">
      <c r="A8" s="3" t="inlineStr">
        <is>
          <t>Status at generation</t>
        </is>
      </c>
      <c r="B8" s="2" t="inlineStr">
        <is>
          <t>FR-008 staged errors: the arm→missed→debrief arc is already field-validated (test H11). Everything else awaits this matrix.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" customWidth="1" min="3" max="3"/>
    <col width="30" customWidth="1" min="4" max="4"/>
    <col width="28" customWidth="1" min="5" max="5"/>
    <col width="32" customWidth="1" min="6" max="6"/>
    <col width="42" customWidth="1" min="7" max="7"/>
    <col width="12" customWidth="1" min="8" max="8"/>
    <col width="10" customWidth="1" min="9" max="9"/>
    <col width="9" customWidth="1" min="10" max="10"/>
    <col width="11" customWidth="1" min="11" max="11"/>
    <col width="32" customWidth="1" min="12" max="12"/>
  </cols>
  <sheetData>
    <row r="1">
      <c r="A1" s="4" t="inlineStr">
        <is>
          <t>Test ID</t>
        </is>
      </c>
      <c r="B1" s="4" t="inlineStr">
        <is>
          <t>Area</t>
        </is>
      </c>
      <c r="C1" s="4" t="inlineStr">
        <is>
          <t>Pri</t>
        </is>
      </c>
      <c r="D1" s="4" t="inlineStr">
        <is>
          <t>Test case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Device(s)</t>
        </is>
      </c>
      <c r="I1" s="4" t="inlineStr">
        <is>
          <t>Result</t>
        </is>
      </c>
      <c r="J1" s="4" t="inlineStr">
        <is>
          <t>Tester</t>
        </is>
      </c>
      <c r="K1" s="4" t="inlineStr">
        <is>
          <t>Date</t>
        </is>
      </c>
      <c r="L1" s="4" t="inlineStr">
        <is>
          <t>Notes</t>
        </is>
      </c>
    </row>
    <row r="2">
      <c r="A2" s="5" t="inlineStr">
        <is>
          <t>A · Network &amp; pairing (FR-004)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6" t="inlineStr">
        <is>
          <t>A1</t>
        </is>
      </c>
      <c r="B3" s="6" t="inlineStr">
        <is>
          <t>A</t>
        </is>
      </c>
      <c r="C3" s="7" t="inlineStr">
        <is>
          <t>P1</t>
        </is>
      </c>
      <c r="D3" s="6" t="inlineStr">
        <is>
          <t>Preflight passes 6/6</t>
        </is>
      </c>
      <c r="E3" s="6" t="inlineStr">
        <is>
          <t>Mac on session network</t>
        </is>
      </c>
      <c r="F3" s="6" t="inlineStr">
        <is>
          <t>Run scripts/preflight.sh</t>
        </is>
      </c>
      <c r="G3" s="6" t="inlineStr">
        <is>
          <t>All 6 checks green; QR minted; onboarding URL printed</t>
        </is>
      </c>
      <c r="H3" s="6" t="inlineStr">
        <is>
          <t>Mac</t>
        </is>
      </c>
      <c r="I3" s="6" t="inlineStr"/>
      <c r="J3" s="6" t="inlineStr"/>
      <c r="K3" s="6" t="inlineStr"/>
      <c r="L3" s="6" t="inlineStr"/>
    </row>
    <row r="4">
      <c r="A4" s="6" t="inlineStr">
        <is>
          <t>A2</t>
        </is>
      </c>
      <c r="B4" s="6" t="inlineStr">
        <is>
          <t>A</t>
        </is>
      </c>
      <c r="C4" s="7" t="inlineStr">
        <is>
          <t>P1</t>
        </is>
      </c>
      <c r="D4" s="6" t="inlineStr">
        <is>
          <t>Cert SAN covers current IP</t>
        </is>
      </c>
      <c r="E4" s="6" t="inlineStr">
        <is>
          <t>Network identity known</t>
        </is>
      </c>
      <c r="F4" s="6" t="inlineStr">
        <is>
          <t>Preflight check 3 / cert-doctor.sh</t>
        </is>
      </c>
      <c r="G4" s="6" t="inlineStr">
        <is>
          <t>Leaf cert SAN includes the Mac's current LAN IP</t>
        </is>
      </c>
      <c r="H4" s="6" t="inlineStr">
        <is>
          <t>Mac</t>
        </is>
      </c>
      <c r="I4" s="6" t="inlineStr"/>
      <c r="J4" s="6" t="inlineStr"/>
      <c r="K4" s="6" t="inlineStr"/>
      <c r="L4" s="6" t="inlineStr"/>
    </row>
    <row r="5">
      <c r="A5" s="6" t="inlineStr">
        <is>
          <t>A3</t>
        </is>
      </c>
      <c r="B5" s="6" t="inlineStr">
        <is>
          <t>A</t>
        </is>
      </c>
      <c r="C5" s="7" t="inlineStr">
        <is>
          <t>P1</t>
        </is>
      </c>
      <c r="D5" s="6" t="inlineStr">
        <is>
          <t>Root CA trusted on each tablet</t>
        </is>
      </c>
      <c r="E5" s="6" t="inlineStr">
        <is>
          <t>CA installed once per device</t>
        </is>
      </c>
      <c r="F5" s="6" t="inlineStr">
        <is>
          <t>Open https portal on tablet</t>
        </is>
      </c>
      <c r="G5" s="6" t="inlineStr">
        <is>
          <t>Green lock, NO cert warning, getUserMedia allowed</t>
        </is>
      </c>
      <c r="H5" s="6" t="inlineStr">
        <is>
          <t>iPad,Android</t>
        </is>
      </c>
      <c r="I5" s="6" t="inlineStr"/>
      <c r="J5" s="6" t="inlineStr"/>
      <c r="K5" s="6" t="inlineStr"/>
      <c r="L5" s="6" t="inlineStr"/>
    </row>
    <row r="6">
      <c r="A6" s="6" t="inlineStr">
        <is>
          <t>A4</t>
        </is>
      </c>
      <c r="B6" s="6" t="inlineStr">
        <is>
          <t>A</t>
        </is>
      </c>
      <c r="C6" s="6" t="inlineStr">
        <is>
          <t>P2</t>
        </is>
      </c>
      <c r="D6" s="6" t="inlineStr">
        <is>
          <t>Onboarding page loads on a NEW tablet</t>
        </is>
      </c>
      <c r="E6" s="6" t="inlineStr">
        <is>
          <t>Fresh tablet, CA not trusted</t>
        </is>
      </c>
      <c r="F6" s="6" t="inlineStr">
        <is>
          <t>Scan QR → proceed → /onboard → install CA</t>
        </is>
      </c>
      <c r="G6" s="6" t="inlineStr">
        <is>
          <t>Page renders; CA downloads + installs; lock turns green</t>
        </is>
      </c>
      <c r="H6" s="6" t="inlineStr">
        <is>
          <t>iPad,Android</t>
        </is>
      </c>
      <c r="I6" s="6" t="inlineStr"/>
      <c r="J6" s="6" t="inlineStr"/>
      <c r="K6" s="6" t="inlineStr"/>
      <c r="L6" s="6" t="inlineStr"/>
    </row>
    <row r="7">
      <c r="A7" s="6" t="inlineStr">
        <is>
          <t>A5</t>
        </is>
      </c>
      <c r="B7" s="6" t="inlineStr">
        <is>
          <t>A</t>
        </is>
      </c>
      <c r="C7" s="7" t="inlineStr">
        <is>
          <t>P1</t>
        </is>
      </c>
      <c r="D7" s="6" t="inlineStr">
        <is>
          <t>Travel-router (Beryl) full loop</t>
        </is>
      </c>
      <c r="E7" s="6" t="inlineStr">
        <is>
          <t>Tablets on Beryl, MAC-privacy OFF</t>
        </is>
      </c>
      <c r="F7" s="6" t="inlineStr">
        <is>
          <t>Run a full voice take over the kit LAN</t>
        </is>
      </c>
      <c r="G7" s="6" t="inlineStr">
        <is>
          <t>Loop completes; NO new trust step (CA holds across networks)</t>
        </is>
      </c>
      <c r="H7" s="6" t="inlineStr">
        <is>
          <t>iPad,Android</t>
        </is>
      </c>
      <c r="I7" s="6" t="inlineStr"/>
      <c r="J7" s="6" t="inlineStr"/>
      <c r="K7" s="6" t="inlineStr"/>
      <c r="L7" s="6" t="inlineStr"/>
    </row>
    <row r="8">
      <c r="A8" s="6" t="inlineStr">
        <is>
          <t>A6</t>
        </is>
      </c>
      <c r="B8" s="6" t="inlineStr">
        <is>
          <t>A</t>
        </is>
      </c>
      <c r="C8" s="6" t="inlineStr">
        <is>
          <t>P2</t>
        </is>
      </c>
      <c r="D8" s="6" t="inlineStr">
        <is>
          <t>Mac IP stable across restart</t>
        </is>
      </c>
      <c r="E8" s="6" t="inlineStr">
        <is>
          <t>Static DHCP lease bound</t>
        </is>
      </c>
      <c r="F8" s="6" t="inlineStr">
        <is>
          <t>Restart router/Mac; recheck IP</t>
        </is>
      </c>
      <c r="G8" s="6" t="inlineStr">
        <is>
          <t>Mac keeps the same IP; QR/cert still valid</t>
        </is>
      </c>
      <c r="H8" s="6" t="inlineStr">
        <is>
          <t>Mac</t>
        </is>
      </c>
      <c r="I8" s="6" t="inlineStr"/>
      <c r="J8" s="6" t="inlineStr"/>
      <c r="K8" s="6" t="inlineStr"/>
      <c r="L8" s="6" t="inlineStr"/>
    </row>
    <row r="9">
      <c r="A9" s="5" t="inlineStr">
        <is>
          <t>B · Avatar tablet (FR-006)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inlineStr">
        <is>
          <t>B1</t>
        </is>
      </c>
      <c r="B10" s="6" t="inlineStr">
        <is>
          <t>B</t>
        </is>
      </c>
      <c r="C10" s="7" t="inlineStr">
        <is>
          <t>P1</t>
        </is>
      </c>
      <c r="D10" s="6" t="inlineStr">
        <is>
          <t>Patient QR → 3D face loads</t>
        </is>
      </c>
      <c r="E10" s="6" t="inlineStr">
        <is>
          <t>Patient persona, avatar mode</t>
        </is>
      </c>
      <c r="F10" s="6" t="inlineStr">
        <is>
          <t>Scan patient QR</t>
        </is>
      </c>
      <c r="G10" s="6" t="inlineStr">
        <is>
          <t>Translucent 3D face renders; no console errors</t>
        </is>
      </c>
      <c r="H10" s="6" t="inlineStr">
        <is>
          <t>iPad</t>
        </is>
      </c>
      <c r="I10" s="6" t="inlineStr"/>
      <c r="J10" s="6" t="inlineStr"/>
      <c r="K10" s="6" t="inlineStr"/>
      <c r="L10" s="6" t="inlineStr"/>
    </row>
    <row r="11">
      <c r="A11" s="6" t="inlineStr">
        <is>
          <t>B2</t>
        </is>
      </c>
      <c r="B11" s="6" t="inlineStr">
        <is>
          <t>B</t>
        </is>
      </c>
      <c r="C11" s="7" t="inlineStr">
        <is>
          <t>P1</t>
        </is>
      </c>
      <c r="D11" s="6" t="inlineStr">
        <is>
          <t>Lip-sync tracks speech</t>
        </is>
      </c>
      <c r="E11" s="6" t="inlineStr">
        <is>
          <t>Avatar live</t>
        </is>
      </c>
      <c r="F11" s="6" t="inlineStr">
        <is>
          <t>Trigger a spoken reply</t>
        </is>
      </c>
      <c r="G11" s="6" t="inlineStr">
        <is>
          <t>Visemes track the audio; no desync</t>
        </is>
      </c>
      <c r="H11" s="6" t="inlineStr">
        <is>
          <t>iPad</t>
        </is>
      </c>
      <c r="I11" s="6" t="inlineStr"/>
      <c r="J11" s="6" t="inlineStr"/>
      <c r="K11" s="6" t="inlineStr"/>
      <c r="L11" s="6" t="inlineStr"/>
    </row>
    <row r="12">
      <c r="A12" s="6" t="inlineStr">
        <is>
          <t>B3</t>
        </is>
      </c>
      <c r="B12" s="6" t="inlineStr">
        <is>
          <t>B</t>
        </is>
      </c>
      <c r="C12" s="6" t="inlineStr">
        <is>
          <t>P2</t>
        </is>
      </c>
      <c r="D12" s="6" t="inlineStr">
        <is>
          <t>Emotion / altered-state reflected</t>
        </is>
      </c>
      <c r="E12" s="6" t="inlineStr">
        <is>
          <t>Persona w/ emotion state</t>
        </is>
      </c>
      <c r="F12" s="6" t="inlineStr">
        <is>
          <t>Drive a turn with emotion</t>
        </is>
      </c>
      <c r="G12" s="6" t="inlineStr">
        <is>
          <t>Expression reflects the persona's state</t>
        </is>
      </c>
      <c r="H12" s="6" t="inlineStr">
        <is>
          <t>iPad</t>
        </is>
      </c>
      <c r="I12" s="6" t="inlineStr"/>
      <c r="J12" s="6" t="inlineStr"/>
      <c r="K12" s="6" t="inlineStr"/>
      <c r="L12" s="6" t="inlineStr"/>
    </row>
    <row r="13">
      <c r="A13" s="6" t="inlineStr">
        <is>
          <t>B4</t>
        </is>
      </c>
      <c r="B13" s="6" t="inlineStr">
        <is>
          <t>B</t>
        </is>
      </c>
      <c r="C13" s="6" t="inlineStr">
        <is>
          <t>P3</t>
        </is>
      </c>
      <c r="D13" s="6" t="inlineStr">
        <is>
          <t>Translucency slider works</t>
        </is>
      </c>
      <c r="E13" s="6" t="inlineStr">
        <is>
          <t>Avatar live</t>
        </is>
      </c>
      <c r="F13" s="6" t="inlineStr">
        <is>
          <t>Drag the slider</t>
        </is>
      </c>
      <c r="G13" s="6" t="inlineStr">
        <is>
          <t>Opacity changes smoothly</t>
        </is>
      </c>
      <c r="H13" s="6" t="inlineStr">
        <is>
          <t>iPad</t>
        </is>
      </c>
      <c r="I13" s="6" t="inlineStr"/>
      <c r="J13" s="6" t="inlineStr"/>
      <c r="K13" s="6" t="inlineStr"/>
      <c r="L13" s="6" t="inlineStr"/>
    </row>
    <row r="14">
      <c r="A14" s="6" t="inlineStr">
        <is>
          <t>B5</t>
        </is>
      </c>
      <c r="B14" s="6" t="inlineStr">
        <is>
          <t>B</t>
        </is>
      </c>
      <c r="C14" s="6" t="inlineStr">
        <is>
          <t>P2</t>
        </is>
      </c>
      <c r="D14" s="6" t="inlineStr">
        <is>
          <t>Reconnect after network blip</t>
        </is>
      </c>
      <c r="E14" s="6" t="inlineStr">
        <is>
          <t>Avatar live</t>
        </is>
      </c>
      <c r="F14" s="6" t="inlineStr">
        <is>
          <t>Drop + restore Wi-Fi</t>
        </is>
      </c>
      <c r="G14" s="6" t="inlineStr">
        <is>
          <t>WS reconnects; avatar resumes without reload</t>
        </is>
      </c>
      <c r="H14" s="6" t="inlineStr">
        <is>
          <t>iPad</t>
        </is>
      </c>
      <c r="I14" s="6" t="inlineStr"/>
      <c r="J14" s="6" t="inlineStr"/>
      <c r="K14" s="6" t="inlineStr"/>
      <c r="L14" s="6" t="inlineStr"/>
    </row>
    <row r="15">
      <c r="A15" s="5" t="inlineStr">
        <is>
          <t>C · Audio station (FR-006b)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inlineStr">
        <is>
          <t>C1</t>
        </is>
      </c>
      <c r="B16" s="6" t="inlineStr">
        <is>
          <t>C</t>
        </is>
      </c>
      <c r="C16" s="7" t="inlineStr">
        <is>
          <t>P1</t>
        </is>
      </c>
      <c r="D16" s="6" t="inlineStr">
        <is>
          <t>Audio QR → flat portrait (no 3D)</t>
        </is>
      </c>
      <c r="E16" s="6" t="inlineStr">
        <is>
          <t>Non-patient, audio mode</t>
        </is>
      </c>
      <c r="F16" s="6" t="inlineStr">
        <is>
          <t>Scan audio-mode QR</t>
        </is>
      </c>
      <c r="G16" s="6" t="inlineStr">
        <is>
          <t>Flat portrait + name + badge; NO 3D rig</t>
        </is>
      </c>
      <c r="H16" s="6" t="inlineStr">
        <is>
          <t>Android</t>
        </is>
      </c>
      <c r="I16" s="6" t="inlineStr"/>
      <c r="J16" s="6" t="inlineStr"/>
      <c r="K16" s="6" t="inlineStr"/>
      <c r="L16" s="6" t="inlineStr"/>
    </row>
    <row r="17">
      <c r="A17" s="6" t="inlineStr">
        <is>
          <t>C2</t>
        </is>
      </c>
      <c r="B17" s="6" t="inlineStr">
        <is>
          <t>C</t>
        </is>
      </c>
      <c r="C17" s="7" t="inlineStr">
        <is>
          <t>P1</t>
        </is>
      </c>
      <c r="D17" s="6" t="inlineStr">
        <is>
          <t>Push-to-talk records</t>
        </is>
      </c>
      <c r="E17" s="6" t="inlineStr">
        <is>
          <t>Audio station up</t>
        </is>
      </c>
      <c r="F17" s="6" t="inlineStr">
        <is>
          <t>Hold, speak, release</t>
        </is>
      </c>
      <c r="G17" s="6" t="inlineStr">
        <is>
          <t>Recording captured; transcription begins</t>
        </is>
      </c>
      <c r="H17" s="6" t="inlineStr">
        <is>
          <t>Android</t>
        </is>
      </c>
      <c r="I17" s="6" t="inlineStr"/>
      <c r="J17" s="6" t="inlineStr"/>
      <c r="K17" s="6" t="inlineStr"/>
      <c r="L17" s="6" t="inlineStr"/>
    </row>
    <row r="18">
      <c r="A18" s="6" t="inlineStr">
        <is>
          <t>C3</t>
        </is>
      </c>
      <c r="B18" s="6" t="inlineStr">
        <is>
          <t>C</t>
        </is>
      </c>
      <c r="C18" s="7" t="inlineStr">
        <is>
          <t>P1</t>
        </is>
      </c>
      <c r="D18" s="6" t="inlineStr">
        <is>
          <t>Room-local STT (Mac) transcribes</t>
        </is>
      </c>
      <c r="E18" s="6" t="inlineStr">
        <is>
          <t>Portal up, STT warm</t>
        </is>
      </c>
      <c r="F18" s="6" t="inlineStr">
        <is>
          <t>One spoken take</t>
        </is>
      </c>
      <c r="G18" s="6" t="inlineStr">
        <is>
          <t>Transcript in ~1–2 s; character replies in voice</t>
        </is>
      </c>
      <c r="H18" s="6" t="inlineStr">
        <is>
          <t>Android,Mac</t>
        </is>
      </c>
      <c r="I18" s="6" t="inlineStr"/>
      <c r="J18" s="6" t="inlineStr"/>
      <c r="K18" s="6" t="inlineStr"/>
      <c r="L18" s="6" t="inlineStr"/>
    </row>
    <row r="19">
      <c r="A19" s="6" t="inlineStr">
        <is>
          <t>C4</t>
        </is>
      </c>
      <c r="B19" s="6" t="inlineStr">
        <is>
          <t>C</t>
        </is>
      </c>
      <c r="C19" s="6" t="inlineStr">
        <is>
          <t>P2</t>
        </is>
      </c>
      <c r="D19" s="6" t="inlineStr">
        <is>
          <t>Drug names transcribe correctly</t>
        </is>
      </c>
      <c r="E19" s="6" t="inlineStr">
        <is>
          <t>Med board active</t>
        </is>
      </c>
      <c r="F19" s="6" t="inlineStr">
        <is>
          <t>Say an order w/ a drug name</t>
        </is>
      </c>
      <c r="G19" s="6" t="inlineStr">
        <is>
          <t>Drug name faithful (e.g. 'ceftriaxone')</t>
        </is>
      </c>
      <c r="H19" s="6" t="inlineStr">
        <is>
          <t>Android,Mac</t>
        </is>
      </c>
      <c r="I19" s="6" t="inlineStr"/>
      <c r="J19" s="6" t="inlineStr"/>
      <c r="K19" s="6" t="inlineStr"/>
      <c r="L19" s="6" t="inlineStr"/>
    </row>
    <row r="20">
      <c r="A20" s="6" t="inlineStr">
        <is>
          <t>C5</t>
        </is>
      </c>
      <c r="B20" s="6" t="inlineStr">
        <is>
          <t>C</t>
        </is>
      </c>
      <c r="C20" s="6" t="inlineStr">
        <is>
          <t>P3</t>
        </is>
      </c>
      <c r="D20" s="6" t="inlineStr">
        <is>
          <t>Name shows (not internal ID)</t>
        </is>
      </c>
      <c r="E20" s="6" t="inlineStr">
        <is>
          <t>Bound character</t>
        </is>
      </c>
      <c r="F20" s="6" t="inlineStr">
        <is>
          <t>Read the header</t>
        </is>
      </c>
      <c r="G20" s="6" t="inlineStr">
        <is>
          <t>Persona name (e.g. 'Pharmacist Lee')</t>
        </is>
      </c>
      <c r="H20" s="6" t="inlineStr">
        <is>
          <t>Android</t>
        </is>
      </c>
      <c r="I20" s="6" t="inlineStr"/>
      <c r="J20" s="6" t="inlineStr"/>
      <c r="K20" s="6" t="inlineStr"/>
      <c r="L20" s="6" t="inlineStr"/>
    </row>
    <row r="21">
      <c r="A21" s="6" t="inlineStr">
        <is>
          <t>C6</t>
        </is>
      </c>
      <c r="B21" s="6" t="inlineStr">
        <is>
          <t>C</t>
        </is>
      </c>
      <c r="C21" s="6" t="inlineStr">
        <is>
          <t>P2</t>
        </is>
      </c>
      <c r="D21" s="6" t="inlineStr">
        <is>
          <t>On-device backup if portal drops</t>
        </is>
      </c>
      <c r="E21" s="6" t="inlineStr">
        <is>
          <t>Portal unreachable</t>
        </is>
      </c>
      <c r="F21" s="6" t="inlineStr">
        <is>
          <t>Take after drop</t>
        </is>
      </c>
      <c r="G21" s="6" t="inlineStr">
        <is>
          <t>Names the failure + arms on-device fallback</t>
        </is>
      </c>
      <c r="H21" s="6" t="inlineStr">
        <is>
          <t>Android</t>
        </is>
      </c>
      <c r="I21" s="6" t="inlineStr"/>
      <c r="J21" s="6" t="inlineStr"/>
      <c r="K21" s="6" t="inlineStr"/>
      <c r="L21" s="6" t="inlineStr"/>
    </row>
    <row r="22">
      <c r="A22" s="5" t="inlineStr">
        <is>
          <t>D · Voice loop end-to-end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inlineStr">
        <is>
          <t>D1</t>
        </is>
      </c>
      <c r="B23" s="6" t="inlineStr">
        <is>
          <t>D</t>
        </is>
      </c>
      <c r="C23" s="7" t="inlineStr">
        <is>
          <t>P1</t>
        </is>
      </c>
      <c r="D23" s="6" t="inlineStr">
        <is>
          <t>Full loop PTT→STT→AI→TTS</t>
        </is>
      </c>
      <c r="E23" s="6" t="inlineStr">
        <is>
          <t>Character bound, running</t>
        </is>
      </c>
      <c r="F23" s="6" t="inlineStr">
        <is>
          <t>One complete take</t>
        </is>
      </c>
      <c r="G23" s="6" t="inlineStr">
        <is>
          <t>Speech → transcript → character voice reply</t>
        </is>
      </c>
      <c r="H23" s="6" t="inlineStr">
        <is>
          <t>iPad,Android</t>
        </is>
      </c>
      <c r="I23" s="6" t="inlineStr"/>
      <c r="J23" s="6" t="inlineStr"/>
      <c r="K23" s="6" t="inlineStr"/>
      <c r="L23" s="6" t="inlineStr"/>
    </row>
    <row r="24">
      <c r="A24" s="6" t="inlineStr">
        <is>
          <t>D2</t>
        </is>
      </c>
      <c r="B24" s="6" t="inlineStr">
        <is>
          <t>D</t>
        </is>
      </c>
      <c r="C24" s="7" t="inlineStr">
        <is>
          <t>P1</t>
        </is>
      </c>
      <c r="D24" s="6" t="inlineStr">
        <is>
          <t>First words within target</t>
        </is>
      </c>
      <c r="E24" s="6" t="inlineStr">
        <is>
          <t>Warm session</t>
        </is>
      </c>
      <c r="F24" s="6" t="inlineStr">
        <is>
          <t>Time a reply</t>
        </is>
      </c>
      <c r="G24" s="6" t="inlineStr">
        <is>
          <t>First audio ~2–3 s (streaming)</t>
        </is>
      </c>
      <c r="H24" s="6" t="inlineStr">
        <is>
          <t>iPad,Android</t>
        </is>
      </c>
      <c r="I24" s="6" t="inlineStr"/>
      <c r="J24" s="6" t="inlineStr"/>
      <c r="K24" s="6" t="inlineStr"/>
      <c r="L24" s="6" t="inlineStr"/>
    </row>
    <row r="25">
      <c r="A25" s="6" t="inlineStr">
        <is>
          <t>D3</t>
        </is>
      </c>
      <c r="B25" s="6" t="inlineStr">
        <is>
          <t>D</t>
        </is>
      </c>
      <c r="C25" s="6" t="inlineStr">
        <is>
          <t>P2</t>
        </is>
      </c>
      <c r="D25" s="6" t="inlineStr">
        <is>
          <t>iPad on-device STT (WebGPU)</t>
        </is>
      </c>
      <c r="E25" s="6" t="inlineStr">
        <is>
          <t>iPad avatar</t>
        </is>
      </c>
      <c r="F25" s="6" t="inlineStr">
        <is>
          <t>Take on iPad</t>
        </is>
      </c>
      <c r="G25" s="6" t="inlineStr">
        <is>
          <t>On-device whisper (~1–1.5 s warm)</t>
        </is>
      </c>
      <c r="H25" s="6" t="inlineStr">
        <is>
          <t>iPad</t>
        </is>
      </c>
      <c r="I25" s="6" t="inlineStr"/>
      <c r="J25" s="6" t="inlineStr"/>
      <c r="K25" s="6" t="inlineStr"/>
      <c r="L25" s="6" t="inlineStr"/>
    </row>
    <row r="26">
      <c r="A26" s="6" t="inlineStr">
        <is>
          <t>D4</t>
        </is>
      </c>
      <c r="B26" s="6" t="inlineStr">
        <is>
          <t>D</t>
        </is>
      </c>
      <c r="C26" s="6" t="inlineStr">
        <is>
          <t>P2</t>
        </is>
      </c>
      <c r="D26" s="6" t="inlineStr">
        <is>
          <t>Several takes in a row</t>
        </is>
      </c>
      <c r="E26" s="6" t="inlineStr">
        <is>
          <t>Warm session</t>
        </is>
      </c>
      <c r="F26" s="6" t="inlineStr">
        <is>
          <t>5 takes back-to-back</t>
        </is>
      </c>
      <c r="G26" s="6" t="inlineStr">
        <is>
          <t>Consistent latency; no degradation</t>
        </is>
      </c>
      <c r="H26" s="6" t="inlineStr">
        <is>
          <t>iPad,Android</t>
        </is>
      </c>
      <c r="I26" s="6" t="inlineStr"/>
      <c r="J26" s="6" t="inlineStr"/>
      <c r="K26" s="6" t="inlineStr"/>
      <c r="L26" s="6" t="inlineStr"/>
    </row>
    <row r="27">
      <c r="A27" s="5" t="inlineStr">
        <is>
          <t>E · Control room (FR-005)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inlineStr">
        <is>
          <t>E1</t>
        </is>
      </c>
      <c r="B28" s="6" t="inlineStr">
        <is>
          <t>E</t>
        </is>
      </c>
      <c r="C28" s="7" t="inlineStr">
        <is>
          <t>P1</t>
        </is>
      </c>
      <c r="D28" s="6" t="inlineStr">
        <is>
          <t>Setup page renders all cards</t>
        </is>
      </c>
      <c r="E28" s="6" t="inlineStr">
        <is>
          <t>Logged in, configured</t>
        </is>
      </c>
      <c r="F28" s="6" t="inlineStr">
        <is>
          <t>Open /portal/control/setup</t>
        </is>
      </c>
      <c r="G28" s="6" t="inlineStr">
        <is>
          <t>Med, devices, skins/voices, add-character present</t>
        </is>
      </c>
      <c r="H28" s="6" t="inlineStr">
        <is>
          <t>Mac</t>
        </is>
      </c>
      <c r="I28" s="6" t="inlineStr"/>
      <c r="J28" s="6" t="inlineStr"/>
      <c r="K28" s="6" t="inlineStr"/>
      <c r="L28" s="6" t="inlineStr"/>
    </row>
    <row r="29">
      <c r="A29" s="6" t="inlineStr">
        <is>
          <t>E2</t>
        </is>
      </c>
      <c r="B29" s="6" t="inlineStr">
        <is>
          <t>E</t>
        </is>
      </c>
      <c r="C29" s="7" t="inlineStr">
        <is>
          <t>P1</t>
        </is>
      </c>
      <c r="D29" s="6" t="inlineStr">
        <is>
          <t>START opens Live Ops window</t>
        </is>
      </c>
      <c r="E29" s="6" t="inlineStr">
        <is>
          <t>On Setup</t>
        </is>
      </c>
      <c r="F29" s="6" t="inlineStr">
        <is>
          <t>Press ▶ START</t>
        </is>
      </c>
      <c r="G29" s="6" t="inlineStr">
        <is>
          <t>Goes live; Live Operations opens in a NEW window</t>
        </is>
      </c>
      <c r="H29" s="6" t="inlineStr">
        <is>
          <t>Mac</t>
        </is>
      </c>
      <c r="I29" s="6" t="inlineStr"/>
      <c r="J29" s="6" t="inlineStr"/>
      <c r="K29" s="6" t="inlineStr"/>
      <c r="L29" s="6" t="inlineStr"/>
    </row>
    <row r="30">
      <c r="A30" s="6" t="inlineStr">
        <is>
          <t>E3</t>
        </is>
      </c>
      <c r="B30" s="6" t="inlineStr">
        <is>
          <t>E</t>
        </is>
      </c>
      <c r="C30" s="6" t="inlineStr">
        <is>
          <t>P2</t>
        </is>
      </c>
      <c r="D30" s="6" t="inlineStr">
        <is>
          <t>Add character mid-session</t>
        </is>
      </c>
      <c r="E30" s="6" t="inlineStr">
        <is>
          <t>Live session</t>
        </is>
      </c>
      <c r="F30" s="6" t="inlineStr">
        <is>
          <t>Add a persona via banner</t>
        </is>
      </c>
      <c r="G30" s="6" t="inlineStr">
        <is>
          <t>Character appears + becomes scannable</t>
        </is>
      </c>
      <c r="H30" s="6" t="inlineStr">
        <is>
          <t>Mac</t>
        </is>
      </c>
      <c r="I30" s="6" t="inlineStr"/>
      <c r="J30" s="6" t="inlineStr"/>
      <c r="K30" s="6" t="inlineStr"/>
      <c r="L30" s="6" t="inlineStr"/>
    </row>
    <row r="31">
      <c r="A31" s="6" t="inlineStr">
        <is>
          <t>E4</t>
        </is>
      </c>
      <c r="B31" s="6" t="inlineStr">
        <is>
          <t>E</t>
        </is>
      </c>
      <c r="C31" s="6" t="inlineStr">
        <is>
          <t>P2</t>
        </is>
      </c>
      <c r="D31" s="6" t="inlineStr">
        <is>
          <t>Avatar ⇄ audio toggle</t>
        </is>
      </c>
      <c r="E31" s="6" t="inlineStr">
        <is>
          <t>Setup/Live</t>
        </is>
      </c>
      <c r="F31" s="6" t="inlineStr">
        <is>
          <t>Flip a character's mode</t>
        </is>
      </c>
      <c r="G31" s="6" t="inlineStr">
        <is>
          <t>QR re-mints for the chosen mode</t>
        </is>
      </c>
      <c r="H31" s="6" t="inlineStr">
        <is>
          <t>Mac</t>
        </is>
      </c>
      <c r="I31" s="6" t="inlineStr"/>
      <c r="J31" s="6" t="inlineStr"/>
      <c r="K31" s="6" t="inlineStr"/>
      <c r="L31" s="6" t="inlineStr"/>
    </row>
    <row r="32">
      <c r="A32" s="6" t="inlineStr">
        <is>
          <t>E5</t>
        </is>
      </c>
      <c r="B32" s="6" t="inlineStr">
        <is>
          <t>E</t>
        </is>
      </c>
      <c r="C32" s="6" t="inlineStr">
        <is>
          <t>P3</t>
        </is>
      </c>
      <c r="D32" s="6" t="inlineStr">
        <is>
          <t>Configured session lands on Setup</t>
        </is>
      </c>
      <c r="E32" s="6" t="inlineStr">
        <is>
          <t>Configured</t>
        </is>
      </c>
      <c r="F32" s="6" t="inlineStr">
        <is>
          <t>Navigate to /ops directly</t>
        </is>
      </c>
      <c r="G32" s="6" t="inlineStr">
        <is>
          <t>Redirects to Setup</t>
        </is>
      </c>
      <c r="H32" s="6" t="inlineStr">
        <is>
          <t>Mac</t>
        </is>
      </c>
      <c r="I32" s="6" t="inlineStr"/>
      <c r="J32" s="6" t="inlineStr"/>
      <c r="K32" s="6" t="inlineStr"/>
      <c r="L32" s="6" t="inlineStr"/>
    </row>
    <row r="33">
      <c r="A33" s="5" t="inlineStr">
        <is>
          <t>F · Say-as-character (FR-003)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inlineStr">
        <is>
          <t>F1</t>
        </is>
      </c>
      <c r="B34" s="6" t="inlineStr">
        <is>
          <t>F</t>
        </is>
      </c>
      <c r="C34" s="7" t="inlineStr">
        <is>
          <t>P1</t>
        </is>
      </c>
      <c r="D34" s="6" t="inlineStr">
        <is>
          <t>Verbatim mode</t>
        </is>
      </c>
      <c r="E34" s="6" t="inlineStr">
        <is>
          <t>Character bound</t>
        </is>
      </c>
      <c r="F34" s="6" t="inlineStr">
        <is>
          <t>Say-as: verbatim line</t>
        </is>
      </c>
      <c r="G34" s="6" t="inlineStr">
        <is>
          <t>Character speaks the exact text</t>
        </is>
      </c>
      <c r="H34" s="6" t="inlineStr">
        <is>
          <t>iPad,Android</t>
        </is>
      </c>
      <c r="I34" s="6" t="inlineStr"/>
      <c r="J34" s="6" t="inlineStr"/>
      <c r="K34" s="6" t="inlineStr"/>
      <c r="L34" s="6" t="inlineStr"/>
    </row>
    <row r="35">
      <c r="A35" s="6" t="inlineStr">
        <is>
          <t>F2</t>
        </is>
      </c>
      <c r="B35" s="6" t="inlineStr">
        <is>
          <t>F</t>
        </is>
      </c>
      <c r="C35" s="7" t="inlineStr">
        <is>
          <t>P1</t>
        </is>
      </c>
      <c r="D35" s="6" t="inlineStr">
        <is>
          <t>In-character mode</t>
        </is>
      </c>
      <c r="E35" s="6" t="inlineStr">
        <is>
          <t>Character bound</t>
        </is>
      </c>
      <c r="F35" s="6" t="inlineStr">
        <is>
          <t>Say-as: in-character intent</t>
        </is>
      </c>
      <c r="G35" s="6" t="inlineStr">
        <is>
          <t>AI rephrases in persona voice/emotion</t>
        </is>
      </c>
      <c r="H35" s="6" t="inlineStr">
        <is>
          <t>iPad,Android</t>
        </is>
      </c>
      <c r="I35" s="6" t="inlineStr"/>
      <c r="J35" s="6" t="inlineStr"/>
      <c r="K35" s="6" t="inlineStr"/>
      <c r="L35" s="6" t="inlineStr"/>
    </row>
    <row r="36">
      <c r="A36" s="5" t="inlineStr">
        <is>
          <t>G · Med ordering (FR-001/002)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inlineStr">
        <is>
          <t>G1</t>
        </is>
      </c>
      <c r="B37" s="6" t="inlineStr">
        <is>
          <t>G</t>
        </is>
      </c>
      <c r="C37" s="7" t="inlineStr">
        <is>
          <t>P1</t>
        </is>
      </c>
      <c r="D37" s="6" t="inlineStr">
        <is>
          <t>Doctor orders decisively WITH dose</t>
        </is>
      </c>
      <c r="E37" s="6" t="inlineStr">
        <is>
          <t>Doctor, condition set</t>
        </is>
      </c>
      <c r="F37" s="6" t="inlineStr">
        <is>
          <t>Ask the doctor for orders</t>
        </is>
      </c>
      <c r="G37" s="6" t="inlineStr">
        <is>
          <t>Doctor PLACES an order w/ a full dose; no 'what's available'</t>
        </is>
      </c>
      <c r="H37" s="6" t="inlineStr">
        <is>
          <t>iPad,Android</t>
        </is>
      </c>
      <c r="I37" s="6" t="inlineStr"/>
      <c r="J37" s="6" t="inlineStr"/>
      <c r="K37" s="6" t="inlineStr"/>
      <c r="L37" s="6" t="inlineStr"/>
    </row>
    <row r="38">
      <c r="A38" s="6" t="inlineStr">
        <is>
          <t>G2</t>
        </is>
      </c>
      <c r="B38" s="6" t="inlineStr">
        <is>
          <t>G</t>
        </is>
      </c>
      <c r="C38" s="6" t="inlineStr">
        <is>
          <t>P2</t>
        </is>
      </c>
      <c r="D38" s="6" t="inlineStr">
        <is>
          <t>Doctor escalates if already-on</t>
        </is>
      </c>
      <c r="E38" s="6" t="inlineStr">
        <is>
          <t>Patient already on primary</t>
        </is>
      </c>
      <c r="F38" s="6" t="inlineStr">
        <is>
          <t>Ask again</t>
        </is>
      </c>
      <c r="G38" s="6" t="inlineStr">
        <is>
          <t>Doctor picks a different primary / escalates</t>
        </is>
      </c>
      <c r="H38" s="6" t="inlineStr">
        <is>
          <t>iPad,Android</t>
        </is>
      </c>
      <c r="I38" s="6" t="inlineStr"/>
      <c r="J38" s="6" t="inlineStr"/>
      <c r="K38" s="6" t="inlineStr"/>
      <c r="L38" s="6" t="inlineStr"/>
    </row>
    <row r="39">
      <c r="A39" s="6" t="inlineStr">
        <is>
          <t>G3</t>
        </is>
      </c>
      <c r="B39" s="6" t="inlineStr">
        <is>
          <t>G</t>
        </is>
      </c>
      <c r="C39" s="7" t="inlineStr">
        <is>
          <t>P1</t>
        </is>
      </c>
      <c r="D39" s="6" t="inlineStr">
        <is>
          <t>Instructor flags a med unavailable</t>
        </is>
      </c>
      <c r="E39" s="6" t="inlineStr">
        <is>
          <t>Med board open</t>
        </is>
      </c>
      <c r="F39" s="6" t="inlineStr">
        <is>
          <t>Toggle a med unavailable</t>
        </is>
      </c>
      <c r="G39" s="6" t="inlineStr">
        <is>
          <t>Med marked unavailable in board state</t>
        </is>
      </c>
      <c r="H39" s="6" t="inlineStr">
        <is>
          <t>Mac</t>
        </is>
      </c>
      <c r="I39" s="6" t="inlineStr"/>
      <c r="J39" s="6" t="inlineStr"/>
      <c r="K39" s="6" t="inlineStr"/>
      <c r="L39" s="6" t="inlineStr"/>
    </row>
    <row r="40">
      <c r="A40" s="6" t="inlineStr">
        <is>
          <t>G4</t>
        </is>
      </c>
      <c r="B40" s="6" t="inlineStr">
        <is>
          <t>G</t>
        </is>
      </c>
      <c r="C40" s="7" t="inlineStr">
        <is>
          <t>P1</t>
        </is>
      </c>
      <c r="D40" s="6" t="inlineStr">
        <is>
          <t>Pharmacist coaches an alternative</t>
        </is>
      </c>
      <c r="E40" s="6" t="inlineStr">
        <is>
          <t>Med flagged unavailable</t>
        </is>
      </c>
      <c r="F40" s="6" t="inlineStr">
        <is>
          <t>Ask the pharmacist</t>
        </is>
      </c>
      <c r="G40" s="6" t="inlineStr">
        <is>
          <t>Names an AUTHORED alternative (never invented)</t>
        </is>
      </c>
      <c r="H40" s="6" t="inlineStr">
        <is>
          <t>Android</t>
        </is>
      </c>
      <c r="I40" s="6" t="inlineStr"/>
      <c r="J40" s="6" t="inlineStr"/>
      <c r="K40" s="6" t="inlineStr"/>
      <c r="L40" s="6" t="inlineStr"/>
    </row>
    <row r="41">
      <c r="A41" s="6" t="inlineStr">
        <is>
          <t>G5</t>
        </is>
      </c>
      <c r="B41" s="6" t="inlineStr">
        <is>
          <t>G</t>
        </is>
      </c>
      <c r="C41" s="6" t="inlineStr">
        <is>
          <t>P2</t>
        </is>
      </c>
      <c r="D41" s="6" t="inlineStr">
        <is>
          <t>Doctor→pharmacist→doctor loop</t>
        </is>
      </c>
      <c r="E41" s="6" t="inlineStr">
        <is>
          <t>Above set up</t>
        </is>
      </c>
      <c r="F41" s="6" t="inlineStr">
        <is>
          <t>Run the loop</t>
        </is>
      </c>
      <c r="G41" s="6" t="inlineStr">
        <is>
          <t>Doctor approves/adjusts w/ a dose</t>
        </is>
      </c>
      <c r="H41" s="6" t="inlineStr">
        <is>
          <t>iPad,Android</t>
        </is>
      </c>
      <c r="I41" s="6" t="inlineStr"/>
      <c r="J41" s="6" t="inlineStr"/>
      <c r="K41" s="6" t="inlineStr"/>
      <c r="L41" s="6" t="inlineStr"/>
    </row>
    <row r="42">
      <c r="A42" s="6" t="inlineStr">
        <is>
          <t>G6</t>
        </is>
      </c>
      <c r="B42" s="6" t="inlineStr">
        <is>
          <t>G</t>
        </is>
      </c>
      <c r="C42" s="6" t="inlineStr">
        <is>
          <t>P2</t>
        </is>
      </c>
      <c r="D42" s="6" t="inlineStr">
        <is>
          <t>Board condition matches the patient</t>
        </is>
      </c>
      <c r="E42" s="6" t="inlineStr">
        <is>
          <t>Single + multi</t>
        </is>
      </c>
      <c r="F42" s="6" t="inlineStr">
        <is>
          <t>Open the med board</t>
        </is>
      </c>
      <c r="G42" s="6" t="inlineStr">
        <is>
          <t>Condition/formulary matches the PATIENT</t>
        </is>
      </c>
      <c r="H42" s="6" t="inlineStr">
        <is>
          <t>Mac</t>
        </is>
      </c>
      <c r="I42" s="6" t="inlineStr"/>
      <c r="J42" s="6" t="inlineStr"/>
      <c r="K42" s="6" t="inlineStr"/>
      <c r="L42" s="6" t="inlineStr"/>
    </row>
    <row r="43">
      <c r="A43" s="5" t="inlineStr">
        <is>
          <t>H · Staged errors (FR-008)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inlineStr">
        <is>
          <t>H1</t>
        </is>
      </c>
      <c r="B44" s="6" t="inlineStr">
        <is>
          <t>H</t>
        </is>
      </c>
      <c r="C44" s="7" t="inlineStr">
        <is>
          <t>P1</t>
        </is>
      </c>
      <c r="D44" s="6" t="inlineStr">
        <is>
          <t>Builder wizard flows end-to-end</t>
        </is>
      </c>
      <c r="E44" s="6" t="inlineStr">
        <is>
          <t>Session running</t>
        </is>
      </c>
      <c r="F44" s="6" t="inlineStr">
        <is>
          <t>Walk all 6 steps; pick a candidate</t>
        </is>
      </c>
      <c r="G44" s="6" t="inlineStr">
        <is>
          <t>Next enables on selection; review; ARM works</t>
        </is>
      </c>
      <c r="H44" s="6" t="inlineStr">
        <is>
          <t>Mac</t>
        </is>
      </c>
      <c r="I44" s="6" t="inlineStr"/>
      <c r="J44" s="6" t="inlineStr"/>
      <c r="K44" s="6" t="inlineStr"/>
      <c r="L44" s="6" t="inlineStr"/>
    </row>
    <row r="45">
      <c r="A45" s="6" t="inlineStr">
        <is>
          <t>H2</t>
        </is>
      </c>
      <c r="B45" s="6" t="inlineStr">
        <is>
          <t>H</t>
        </is>
      </c>
      <c r="C45" s="7" t="inlineStr">
        <is>
          <t>P1</t>
        </is>
      </c>
      <c r="D45" s="6" t="inlineStr">
        <is>
          <t>Transcription (verbal) deliver→correct</t>
        </is>
      </c>
      <c r="E45" s="6" t="inlineStr">
        <is>
          <t>Sound-alike armed (verbal)</t>
        </is>
      </c>
      <c r="F45" s="6" t="inlineStr">
        <is>
          <t>Question, then read-back challenge</t>
        </is>
      </c>
      <c r="G45" s="6" t="inlineStr">
        <is>
          <t>Doctor speaks wrong drug, defends, then CORRECTS + credits the catch</t>
        </is>
      </c>
      <c r="H45" s="6" t="inlineStr">
        <is>
          <t>iPad,Android</t>
        </is>
      </c>
      <c r="I45" s="6" t="inlineStr"/>
      <c r="J45" s="6" t="inlineStr"/>
      <c r="K45" s="6" t="inlineStr"/>
      <c r="L45" s="6" t="inlineStr"/>
    </row>
    <row r="46">
      <c r="A46" s="6" t="inlineStr">
        <is>
          <t>H3</t>
        </is>
      </c>
      <c r="B46" s="6" t="inlineStr">
        <is>
          <t>H</t>
        </is>
      </c>
      <c r="C46" s="7" t="inlineStr">
        <is>
          <t>P1</t>
        </is>
      </c>
      <c r="D46" s="6" t="inlineStr">
        <is>
          <t>Wrong dose (document) discrepancy</t>
        </is>
      </c>
      <c r="E46" s="6" t="inlineStr">
        <is>
          <t>Armed wrong_dose·document·charting</t>
        </is>
      </c>
      <c r="F46" s="6" t="inlineStr">
        <is>
          <t>Trainee reviews chart</t>
        </is>
      </c>
      <c r="G46" s="6" t="inlineStr">
        <is>
          <t>Note contradicts the MAR; MAR stays correct (catchable)</t>
        </is>
      </c>
      <c r="H46" s="6" t="inlineStr">
        <is>
          <t>iPad</t>
        </is>
      </c>
      <c r="I46" s="6" t="inlineStr"/>
      <c r="J46" s="6" t="inlineStr"/>
      <c r="K46" s="6" t="inlineStr"/>
      <c r="L46" s="6" t="inlineStr"/>
    </row>
    <row r="47">
      <c r="A47" s="6" t="inlineStr">
        <is>
          <t>H4</t>
        </is>
      </c>
      <c r="B47" s="6" t="inlineStr">
        <is>
          <t>H</t>
        </is>
      </c>
      <c r="C47" s="6" t="inlineStr">
        <is>
          <t>P2</t>
        </is>
      </c>
      <c r="D47" s="6" t="inlineStr">
        <is>
          <t>Interaction error</t>
        </is>
      </c>
      <c r="E47" s="6" t="inlineStr">
        <is>
          <t>Armed interaction</t>
        </is>
      </c>
      <c r="F47" s="6" t="inlineStr">
        <is>
          <t>Run the encounter</t>
        </is>
      </c>
      <c r="G47" s="6" t="inlineStr">
        <is>
          <t>Conflicting med vs an active med; pharmacist coaches</t>
        </is>
      </c>
      <c r="H47" s="6" t="inlineStr">
        <is>
          <t>iPad,Android</t>
        </is>
      </c>
      <c r="I47" s="6" t="inlineStr"/>
      <c r="J47" s="6" t="inlineStr"/>
      <c r="K47" s="6" t="inlineStr"/>
      <c r="L47" s="6" t="inlineStr"/>
    </row>
    <row r="48">
      <c r="A48" s="6" t="inlineStr">
        <is>
          <t>H5</t>
        </is>
      </c>
      <c r="B48" s="6" t="inlineStr">
        <is>
          <t>H</t>
        </is>
      </c>
      <c r="C48" s="6" t="inlineStr">
        <is>
          <t>P2</t>
        </is>
      </c>
      <c r="D48" s="6" t="inlineStr">
        <is>
          <t>Allergy oversight</t>
        </is>
      </c>
      <c r="E48" s="6" t="inlineStr">
        <is>
          <t>Documented allergy present</t>
        </is>
      </c>
      <c r="F48" s="6" t="inlineStr">
        <is>
          <t>Armed allergy</t>
        </is>
      </c>
      <c r="G48" s="6" t="inlineStr">
        <is>
          <t>Allergy-conflicting med ordered despite the allergy</t>
        </is>
      </c>
      <c r="H48" s="6" t="inlineStr">
        <is>
          <t>iPad,Android</t>
        </is>
      </c>
      <c r="I48" s="6" t="inlineStr"/>
      <c r="J48" s="6" t="inlineStr"/>
      <c r="K48" s="6" t="inlineStr"/>
      <c r="L48" s="6" t="inlineStr"/>
    </row>
    <row r="49">
      <c r="A49" s="6" t="inlineStr">
        <is>
          <t>H6</t>
        </is>
      </c>
      <c r="B49" s="6" t="inlineStr">
        <is>
          <t>H</t>
        </is>
      </c>
      <c r="C49" s="6" t="inlineStr">
        <is>
          <t>P2</t>
        </is>
      </c>
      <c r="D49" s="6" t="inlineStr">
        <is>
          <t>Administration error</t>
        </is>
      </c>
      <c r="E49" s="6" t="inlineStr">
        <is>
          <t>Armed admin·document</t>
        </is>
      </c>
      <c r="F49" s="6" t="inlineStr">
        <is>
          <t>Trainee preps meds</t>
        </is>
      </c>
      <c r="G49" s="6" t="inlineStr">
        <is>
          <t>MAR shows expired/wrong-time/look-alike deviation</t>
        </is>
      </c>
      <c r="H49" s="6" t="inlineStr">
        <is>
          <t>iPad</t>
        </is>
      </c>
      <c r="I49" s="6" t="inlineStr"/>
      <c r="J49" s="6" t="inlineStr"/>
      <c r="K49" s="6" t="inlineStr"/>
      <c r="L49" s="6" t="inlineStr"/>
    </row>
    <row r="50">
      <c r="A50" s="6" t="inlineStr">
        <is>
          <t>H7</t>
        </is>
      </c>
      <c r="B50" s="6" t="inlineStr">
        <is>
          <t>H</t>
        </is>
      </c>
      <c r="C50" s="7" t="inlineStr">
        <is>
          <t>P1</t>
        </is>
      </c>
      <c r="D50" s="6" t="inlineStr">
        <is>
          <t>Patient impact trigger + stabilize</t>
        </is>
      </c>
      <c r="E50" s="6" t="inlineStr">
        <is>
          <t>Armed w/ impact</t>
        </is>
      </c>
      <c r="F50" s="6" t="inlineStr">
        <is>
          <t>Trigger; then Stabilize</t>
        </is>
      </c>
      <c r="G50" s="6" t="inlineStr">
        <is>
          <t>Patient symptomatic + vitals shift; Stabilize reverts both</t>
        </is>
      </c>
      <c r="H50" s="6" t="inlineStr">
        <is>
          <t>iPad,Mac</t>
        </is>
      </c>
      <c r="I50" s="6" t="inlineStr"/>
      <c r="J50" s="6" t="inlineStr"/>
      <c r="K50" s="6" t="inlineStr"/>
      <c r="L50" s="6" t="inlineStr"/>
    </row>
    <row r="51">
      <c r="A51" s="6" t="inlineStr">
        <is>
          <t>H8</t>
        </is>
      </c>
      <c r="B51" s="6" t="inlineStr">
        <is>
          <t>H</t>
        </is>
      </c>
      <c r="C51" s="6" t="inlineStr">
        <is>
          <t>P2</t>
        </is>
      </c>
      <c r="D51" s="6" t="inlineStr">
        <is>
          <t>Auto-trigger on administration</t>
        </is>
      </c>
      <c r="E51" s="6" t="inlineStr">
        <is>
          <t>Impact = on_administer</t>
        </is>
      </c>
      <c r="F51" s="6" t="inlineStr">
        <is>
          <t>Administer the staged med</t>
        </is>
      </c>
      <c r="G51" s="6" t="inlineStr">
        <is>
          <t>Impact fires automatically</t>
        </is>
      </c>
      <c r="H51" s="6" t="inlineStr">
        <is>
          <t>Android,Mac</t>
        </is>
      </c>
      <c r="I51" s="6" t="inlineStr"/>
      <c r="J51" s="6" t="inlineStr"/>
      <c r="K51" s="6" t="inlineStr"/>
      <c r="L51" s="6" t="inlineStr"/>
    </row>
    <row r="52">
      <c r="A52" s="6" t="inlineStr">
        <is>
          <t>H9</t>
        </is>
      </c>
      <c r="B52" s="6" t="inlineStr">
        <is>
          <t>H</t>
        </is>
      </c>
      <c r="C52" s="6" t="inlineStr">
        <is>
          <t>P2</t>
        </is>
      </c>
      <c r="D52" s="6" t="inlineStr">
        <is>
          <t>Severe impact double-confirm</t>
        </is>
      </c>
      <c r="E52" s="6" t="inlineStr">
        <is>
          <t>Severe impact armed</t>
        </is>
      </c>
      <c r="F52" s="6" t="inlineStr">
        <is>
          <t>Press Trigger</t>
        </is>
      </c>
      <c r="G52" s="6" t="inlineStr">
        <is>
          <t>Demands a second confirmation before firing</t>
        </is>
      </c>
      <c r="H52" s="6" t="inlineStr">
        <is>
          <t>Mac</t>
        </is>
      </c>
      <c r="I52" s="6" t="inlineStr"/>
      <c r="J52" s="6" t="inlineStr"/>
      <c r="K52" s="6" t="inlineStr"/>
      <c r="L52" s="6" t="inlineStr"/>
    </row>
    <row r="53">
      <c r="A53" s="6" t="inlineStr">
        <is>
          <t>H10</t>
        </is>
      </c>
      <c r="B53" s="6" t="inlineStr">
        <is>
          <t>H</t>
        </is>
      </c>
      <c r="C53" s="7" t="inlineStr">
        <is>
          <t>P1</t>
        </is>
      </c>
      <c r="D53" s="6" t="inlineStr">
        <is>
          <t>Caught / Missed marking</t>
        </is>
      </c>
      <c r="E53" s="6" t="inlineStr">
        <is>
          <t>Error armed</t>
        </is>
      </c>
      <c r="F53" s="6" t="inlineStr">
        <is>
          <t>Mark caught, then missed</t>
        </is>
      </c>
      <c r="G53" s="6" t="inlineStr">
        <is>
          <t>Outcome recorded; transcript stamped</t>
        </is>
      </c>
      <c r="H53" s="6" t="inlineStr">
        <is>
          <t>Mac</t>
        </is>
      </c>
      <c r="I53" s="6" t="inlineStr"/>
      <c r="J53" s="6" t="inlineStr"/>
      <c r="K53" s="6" t="inlineStr"/>
      <c r="L53" s="6" t="inlineStr"/>
    </row>
    <row r="54">
      <c r="A54" s="6" t="inlineStr">
        <is>
          <t>H11</t>
        </is>
      </c>
      <c r="B54" s="6" t="inlineStr">
        <is>
          <t>H</t>
        </is>
      </c>
      <c r="C54" s="7" t="inlineStr">
        <is>
          <t>P1</t>
        </is>
      </c>
      <c r="D54" s="6" t="inlineStr">
        <is>
          <t>Debrief shows the full arc</t>
        </is>
      </c>
      <c r="E54" s="6" t="inlineStr">
        <is>
          <t>Resolved error(s)</t>
        </is>
      </c>
      <c r="F54" s="6" t="inlineStr">
        <is>
          <t>Open the debrief</t>
        </is>
      </c>
      <c r="G54" s="6" t="inlineStr">
        <is>
          <t>Arc armed→delivered→impact→resolved + outcome (MISSED highlighted) [partial ✅]</t>
        </is>
      </c>
      <c r="H54" s="6" t="inlineStr">
        <is>
          <t>Mac</t>
        </is>
      </c>
      <c r="I54" s="6" t="inlineStr"/>
      <c r="J54" s="6" t="inlineStr"/>
      <c r="K54" s="6" t="inlineStr"/>
      <c r="L54" s="6" t="inlineStr"/>
    </row>
    <row r="55">
      <c r="A55" s="6" t="inlineStr">
        <is>
          <t>H12</t>
        </is>
      </c>
      <c r="B55" s="6" t="inlineStr">
        <is>
          <t>H</t>
        </is>
      </c>
      <c r="C55" s="6" t="inlineStr">
        <is>
          <t>P2</t>
        </is>
      </c>
      <c r="D55" s="6" t="inlineStr">
        <is>
          <t>Disarm restores chart byte-exact</t>
        </is>
      </c>
      <c r="E55" s="6" t="inlineStr">
        <is>
          <t>Document error armed</t>
        </is>
      </c>
      <c r="F55" s="6" t="inlineStr">
        <is>
          <t>Disarm it</t>
        </is>
      </c>
      <c r="G55" s="6" t="inlineStr">
        <is>
          <t>Mutated chart artifact restored exactly</t>
        </is>
      </c>
      <c r="H55" s="6" t="inlineStr">
        <is>
          <t>Mac</t>
        </is>
      </c>
      <c r="I55" s="6" t="inlineStr"/>
      <c r="J55" s="6" t="inlineStr"/>
      <c r="K55" s="6" t="inlineStr"/>
      <c r="L55" s="6" t="inlineStr"/>
    </row>
    <row r="56">
      <c r="A56" s="6" t="inlineStr">
        <is>
          <t>H13</t>
        </is>
      </c>
      <c r="B56" s="6" t="inlineStr">
        <is>
          <t>H</t>
        </is>
      </c>
      <c r="C56" s="7" t="inlineStr">
        <is>
          <t>P1</t>
        </is>
      </c>
      <c r="D56" s="6" t="inlineStr">
        <is>
          <t>Multi-patient per-bed isolation</t>
        </is>
      </c>
      <c r="E56" s="6" t="inlineStr">
        <is>
          <t>2–3 bed room</t>
        </is>
      </c>
      <c r="F56" s="6" t="inlineStr">
        <is>
          <t>Arm on bed A only</t>
        </is>
      </c>
      <c r="G56" s="6" t="inlineStr">
        <is>
          <t>Bed A shows it; bed B unaffected; build scoped to bed</t>
        </is>
      </c>
      <c r="H56" s="6" t="inlineStr">
        <is>
          <t>Mac</t>
        </is>
      </c>
      <c r="I56" s="6" t="inlineStr"/>
      <c r="J56" s="6" t="inlineStr"/>
      <c r="K56" s="6" t="inlineStr"/>
      <c r="L56" s="6" t="inlineStr"/>
    </row>
    <row r="57">
      <c r="A57" s="6" t="inlineStr">
        <is>
          <t>H14</t>
        </is>
      </c>
      <c r="B57" s="6" t="inlineStr">
        <is>
          <t>H</t>
        </is>
      </c>
      <c r="C57" s="6" t="inlineStr">
        <is>
          <t>P3</t>
        </is>
      </c>
      <c r="D57" s="6" t="inlineStr">
        <is>
          <t>Builder opens in its own window</t>
        </is>
      </c>
      <c r="E57" s="6" t="inlineStr">
        <is>
          <t>Setup/console</t>
        </is>
      </c>
      <c r="F57" s="6" t="inlineStr">
        <is>
          <t>Click Build a staged error</t>
        </is>
      </c>
      <c r="G57" s="6" t="inlineStr">
        <is>
          <t>Separate window; closing returns to the control panel</t>
        </is>
      </c>
      <c r="H57" s="6" t="inlineStr">
        <is>
          <t>Mac</t>
        </is>
      </c>
      <c r="I57" s="6" t="inlineStr"/>
      <c r="J57" s="6" t="inlineStr"/>
      <c r="K57" s="6" t="inlineStr"/>
      <c r="L57" s="6" t="inlineStr"/>
    </row>
    <row r="58">
      <c r="A58" s="5" t="inlineStr">
        <is>
          <t>I · EHR / Medical Records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inlineStr">
        <is>
          <t>I1</t>
        </is>
      </c>
      <c r="B59" s="6" t="inlineStr">
        <is>
          <t>I</t>
        </is>
      </c>
      <c r="C59" s="7" t="inlineStr">
        <is>
          <t>P1</t>
        </is>
      </c>
      <c r="D59" s="6" t="inlineStr">
        <is>
          <t>MR shows the correct PATIENT</t>
        </is>
      </c>
      <c r="E59" s="6" t="inlineStr">
        <is>
          <t>Single + multi</t>
        </is>
      </c>
      <c r="F59" s="6" t="inlineStr">
        <is>
          <t>Open the Medical Record</t>
        </is>
      </c>
      <c r="G59" s="6" t="inlineStr">
        <is>
          <t>Chart is the PATIENT (never the doctor)</t>
        </is>
      </c>
      <c r="H59" s="6" t="inlineStr">
        <is>
          <t>Mac</t>
        </is>
      </c>
      <c r="I59" s="6" t="inlineStr"/>
      <c r="J59" s="6" t="inlineStr"/>
      <c r="K59" s="6" t="inlineStr"/>
      <c r="L59" s="6" t="inlineStr"/>
    </row>
    <row r="60">
      <c r="A60" s="6" t="inlineStr">
        <is>
          <t>I2</t>
        </is>
      </c>
      <c r="B60" s="6" t="inlineStr">
        <is>
          <t>I</t>
        </is>
      </c>
      <c r="C60" s="6" t="inlineStr">
        <is>
          <t>P2</t>
        </is>
      </c>
      <c r="D60" s="6" t="inlineStr">
        <is>
          <t>MR opens in its own window</t>
        </is>
      </c>
      <c r="E60" s="6" t="inlineStr">
        <is>
          <t>Control panel</t>
        </is>
      </c>
      <c r="F60" s="6" t="inlineStr">
        <is>
          <t>Launch EHR</t>
        </is>
      </c>
      <c r="G60" s="6" t="inlineStr">
        <is>
          <t>Separate window; closing returns to an intact panel</t>
        </is>
      </c>
      <c r="H60" s="6" t="inlineStr">
        <is>
          <t>Mac</t>
        </is>
      </c>
      <c r="I60" s="6" t="inlineStr"/>
      <c r="J60" s="6" t="inlineStr"/>
      <c r="K60" s="6" t="inlineStr"/>
      <c r="L60" s="6" t="inlineStr"/>
    </row>
    <row r="61">
      <c r="A61" s="6" t="inlineStr">
        <is>
          <t>I3</t>
        </is>
      </c>
      <c r="B61" s="6" t="inlineStr">
        <is>
          <t>I</t>
        </is>
      </c>
      <c r="C61" s="7" t="inlineStr">
        <is>
          <t>P1</t>
        </is>
      </c>
      <c r="D61" s="6" t="inlineStr">
        <is>
          <t>Chart content correct</t>
        </is>
      </c>
      <c r="E61" s="6" t="inlineStr">
        <is>
          <t>MR open</t>
        </is>
      </c>
      <c r="F61" s="6" t="inlineStr">
        <is>
          <t>Inspect MAR/allergies/vitals/notes</t>
        </is>
      </c>
      <c r="G61" s="6" t="inlineStr">
        <is>
          <t>All present + patient-correct</t>
        </is>
      </c>
      <c r="H61" s="6" t="inlineStr">
        <is>
          <t>Mac</t>
        </is>
      </c>
      <c r="I61" s="6" t="inlineStr"/>
      <c r="J61" s="6" t="inlineStr"/>
      <c r="K61" s="6" t="inlineStr"/>
      <c r="L61" s="6" t="inlineStr"/>
    </row>
    <row r="62">
      <c r="A62" s="6" t="inlineStr">
        <is>
          <t>I4</t>
        </is>
      </c>
      <c r="B62" s="6" t="inlineStr">
        <is>
          <t>I</t>
        </is>
      </c>
      <c r="C62" s="6" t="inlineStr">
        <is>
          <t>P2</t>
        </is>
      </c>
      <c r="D62" s="6" t="inlineStr">
        <is>
          <t>Order entry works</t>
        </is>
      </c>
      <c r="E62" s="6" t="inlineStr">
        <is>
          <t>MR open</t>
        </is>
      </c>
      <c r="F62" s="6" t="inlineStr">
        <is>
          <t>Place a lab/imaging/med order</t>
        </is>
      </c>
      <c r="G62" s="6" t="inlineStr">
        <is>
          <t>Recorded + visible in chart/debrief</t>
        </is>
      </c>
      <c r="H62" s="6" t="inlineStr">
        <is>
          <t>Mac</t>
        </is>
      </c>
      <c r="I62" s="6" t="inlineStr"/>
      <c r="J62" s="6" t="inlineStr"/>
      <c r="K62" s="6" t="inlineStr"/>
      <c r="L62" s="6" t="inlineStr"/>
    </row>
    <row r="63">
      <c r="A63" s="5" t="inlineStr">
        <is>
          <t>J · Multi-patient / room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inlineStr">
        <is>
          <t>J1</t>
        </is>
      </c>
      <c r="B64" s="6" t="inlineStr">
        <is>
          <t>J</t>
        </is>
      </c>
      <c r="C64" s="7" t="inlineStr">
        <is>
          <t>P1</t>
        </is>
      </c>
      <c r="D64" s="6" t="inlineStr">
        <is>
          <t>Start a 2–3 bed room</t>
        </is>
      </c>
      <c r="E64" s="6" t="inlineStr">
        <is>
          <t>Room wizard</t>
        </is>
      </c>
      <c r="F64" s="6" t="inlineStr">
        <is>
          <t>Finalize a room</t>
        </is>
      </c>
      <c r="G64" s="6" t="inlineStr">
        <is>
          <t>Each bed gets a join code + console</t>
        </is>
      </c>
      <c r="H64" s="6" t="inlineStr">
        <is>
          <t>Mac</t>
        </is>
      </c>
      <c r="I64" s="6" t="inlineStr"/>
      <c r="J64" s="6" t="inlineStr"/>
      <c r="K64" s="6" t="inlineStr"/>
      <c r="L64" s="6" t="inlineStr"/>
    </row>
    <row r="65">
      <c r="A65" s="6" t="inlineStr">
        <is>
          <t>J2</t>
        </is>
      </c>
      <c r="B65" s="6" t="inlineStr">
        <is>
          <t>J</t>
        </is>
      </c>
      <c r="C65" s="7" t="inlineStr">
        <is>
          <t>P1</t>
        </is>
      </c>
      <c r="D65" s="6" t="inlineStr">
        <is>
          <t>Per-bed roster + patient correct</t>
        </is>
      </c>
      <c r="E65" s="6" t="inlineStr">
        <is>
          <t>Room running</t>
        </is>
      </c>
      <c r="F65" s="6" t="inlineStr">
        <is>
          <t>Open each bed console</t>
        </is>
      </c>
      <c r="G65" s="6" t="inlineStr">
        <is>
          <t>Correct patient + FULL roster checked (doctor/charge/RT/family)</t>
        </is>
      </c>
      <c r="H65" s="6" t="inlineStr">
        <is>
          <t>Mac</t>
        </is>
      </c>
      <c r="I65" s="6" t="inlineStr"/>
      <c r="J65" s="6" t="inlineStr"/>
      <c r="K65" s="6" t="inlineStr"/>
      <c r="L65" s="6" t="inlineStr"/>
    </row>
    <row r="66">
      <c r="A66" s="6" t="inlineStr">
        <is>
          <t>J3</t>
        </is>
      </c>
      <c r="B66" s="6" t="inlineStr">
        <is>
          <t>J</t>
        </is>
      </c>
      <c r="C66" s="6" t="inlineStr">
        <is>
          <t>P2</t>
        </is>
      </c>
      <c r="D66" s="6" t="inlineStr">
        <is>
          <t>Per-bed tools scoped</t>
        </is>
      </c>
      <c r="E66" s="6" t="inlineStr">
        <is>
          <t>Room running</t>
        </is>
      </c>
      <c r="F66" s="6" t="inlineStr">
        <is>
          <t>Use board/errors/devices on a bed</t>
        </is>
      </c>
      <c r="G66" s="6" t="inlineStr">
        <is>
          <t>Each tool scopes to that bed only</t>
        </is>
      </c>
      <c r="H66" s="6" t="inlineStr">
        <is>
          <t>Mac</t>
        </is>
      </c>
      <c r="I66" s="6" t="inlineStr"/>
      <c r="J66" s="6" t="inlineStr"/>
      <c r="K66" s="6" t="inlineStr"/>
      <c r="L66" s="6" t="inlineStr"/>
    </row>
    <row r="67">
      <c r="A67" s="6" t="inlineStr">
        <is>
          <t>J4</t>
        </is>
      </c>
      <c r="B67" s="6" t="inlineStr">
        <is>
          <t>J</t>
        </is>
      </c>
      <c r="C67" s="6" t="inlineStr">
        <is>
          <t>P3</t>
        </is>
      </c>
      <c r="D67" s="6" t="inlineStr">
        <is>
          <t>Nursing station supervises beds</t>
        </is>
      </c>
      <c r="E67" s="6" t="inlineStr">
        <is>
          <t>Room running</t>
        </is>
      </c>
      <c r="F67" s="6" t="inlineStr">
        <is>
          <t>Open the nursing station</t>
        </is>
      </c>
      <c r="G67" s="6" t="inlineStr">
        <is>
          <t>All beds' strips/transcripts visible</t>
        </is>
      </c>
      <c r="H67" s="6" t="inlineStr">
        <is>
          <t>Mac</t>
        </is>
      </c>
      <c r="I67" s="6" t="inlineStr"/>
      <c r="J67" s="6" t="inlineStr"/>
      <c r="K67" s="6" t="inlineStr"/>
      <c r="L67" s="6" t="inlineStr"/>
    </row>
    <row r="68">
      <c r="A68" s="6" t="inlineStr">
        <is>
          <t>J5</t>
        </is>
      </c>
      <c r="B68" s="6" t="inlineStr">
        <is>
          <t>J</t>
        </is>
      </c>
      <c r="C68" s="6" t="inlineStr">
        <is>
          <t>P2</t>
        </is>
      </c>
      <c r="D68" s="6" t="inlineStr">
        <is>
          <t>Transcripts land on the right bed</t>
        </is>
      </c>
      <c r="E68" s="6" t="inlineStr">
        <is>
          <t>Multi-bed turns</t>
        </is>
      </c>
      <c r="F68" s="6" t="inlineStr">
        <is>
          <t>Take on two beds</t>
        </is>
      </c>
      <c r="G68" s="6" t="inlineStr">
        <is>
          <t>Each transcript lands on its own encounter</t>
        </is>
      </c>
      <c r="H68" s="6" t="inlineStr">
        <is>
          <t>Mac,iPad,Android</t>
        </is>
      </c>
      <c r="I68" s="6" t="inlineStr"/>
      <c r="J68" s="6" t="inlineStr"/>
      <c r="K68" s="6" t="inlineStr"/>
      <c r="L68" s="6" t="inlineStr"/>
    </row>
    <row r="69">
      <c r="A69" s="5" t="inlineStr">
        <is>
          <t>K · Devices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inlineStr">
        <is>
          <t>K1</t>
        </is>
      </c>
      <c r="B70" s="6" t="inlineStr">
        <is>
          <t>K</t>
        </is>
      </c>
      <c r="C70" s="6" t="inlineStr">
        <is>
          <t>P2</t>
        </is>
      </c>
      <c r="D70" s="6" t="inlineStr">
        <is>
          <t>Device join via QR</t>
        </is>
      </c>
      <c r="E70" s="6" t="inlineStr">
        <is>
          <t>Device skin set</t>
        </is>
      </c>
      <c r="F70" s="6" t="inlineStr">
        <is>
          <t>Scan a device QR</t>
        </is>
      </c>
      <c r="G70" s="6" t="inlineStr">
        <is>
          <t>Device station joins + renders</t>
        </is>
      </c>
      <c r="H70" s="6" t="inlineStr">
        <is>
          <t>iPad,Android</t>
        </is>
      </c>
      <c r="I70" s="6" t="inlineStr"/>
      <c r="J70" s="6" t="inlineStr"/>
      <c r="K70" s="6" t="inlineStr"/>
      <c r="L70" s="6" t="inlineStr"/>
    </row>
    <row r="71">
      <c r="A71" s="6" t="inlineStr">
        <is>
          <t>K2</t>
        </is>
      </c>
      <c r="B71" s="6" t="inlineStr">
        <is>
          <t>K</t>
        </is>
      </c>
      <c r="C71" s="6" t="inlineStr">
        <is>
          <t>P3</t>
        </is>
      </c>
      <c r="D71" s="6" t="inlineStr">
        <is>
          <t>Pump program / alarm</t>
        </is>
      </c>
      <c r="E71" s="6" t="inlineStr">
        <is>
          <t>Pump joined</t>
        </is>
      </c>
      <c r="F71" s="6" t="inlineStr">
        <is>
          <t>Program a rate / alarm</t>
        </is>
      </c>
      <c r="G71" s="6" t="inlineStr">
        <is>
          <t>Pump reflects program; alarm propagates</t>
        </is>
      </c>
      <c r="H71" s="6" t="inlineStr">
        <is>
          <t>iPad</t>
        </is>
      </c>
      <c r="I71" s="6" t="inlineStr"/>
      <c r="J71" s="6" t="inlineStr"/>
      <c r="K71" s="6" t="inlineStr"/>
      <c r="L71" s="6" t="inlineStr"/>
    </row>
    <row r="72">
      <c r="A72" s="6" t="inlineStr">
        <is>
          <t>K3</t>
        </is>
      </c>
      <c r="B72" s="6" t="inlineStr">
        <is>
          <t>K</t>
        </is>
      </c>
      <c r="C72" s="6" t="inlineStr">
        <is>
          <t>P2</t>
        </is>
      </c>
      <c r="D72" s="6" t="inlineStr">
        <is>
          <t>Med cart administer logged</t>
        </is>
      </c>
      <c r="E72" s="6" t="inlineStr">
        <is>
          <t>Cabinet joined</t>
        </is>
      </c>
      <c r="F72" s="6" t="inlineStr">
        <is>
          <t>Administer a med</t>
        </is>
      </c>
      <c r="G72" s="6" t="inlineStr">
        <is>
          <t>'RN administered …' logged to transcript</t>
        </is>
      </c>
      <c r="H72" s="6" t="inlineStr">
        <is>
          <t>iPad,Mac</t>
        </is>
      </c>
      <c r="I72" s="6" t="inlineStr"/>
      <c r="J72" s="6" t="inlineStr"/>
      <c r="K72" s="6" t="inlineStr"/>
      <c r="L72" s="6" t="inlineStr"/>
    </row>
    <row r="73">
      <c r="A73" s="6" t="inlineStr">
        <is>
          <t>K4</t>
        </is>
      </c>
      <c r="B73" s="6" t="inlineStr">
        <is>
          <t>K</t>
        </is>
      </c>
      <c r="C73" s="6" t="inlineStr">
        <is>
          <t>P2</t>
        </is>
      </c>
      <c r="D73" s="6" t="inlineStr">
        <is>
          <t>Telemetry + instructor override</t>
        </is>
      </c>
      <c r="E73" s="6" t="inlineStr">
        <is>
          <t>Monitor up</t>
        </is>
      </c>
      <c r="F73" s="6" t="inlineStr">
        <is>
          <t>Override a metric</t>
        </is>
      </c>
      <c r="G73" s="6" t="inlineStr">
        <is>
          <t>Bedside monitor reflects the override</t>
        </is>
      </c>
      <c r="H73" s="6" t="inlineStr">
        <is>
          <t>iPad,Mac</t>
        </is>
      </c>
      <c r="I73" s="6" t="inlineStr"/>
      <c r="J73" s="6" t="inlineStr"/>
      <c r="K73" s="6" t="inlineStr"/>
      <c r="L73" s="6" t="inlineStr"/>
    </row>
    <row r="74">
      <c r="A74" s="6" t="inlineStr">
        <is>
          <t>K5</t>
        </is>
      </c>
      <c r="B74" s="6" t="inlineStr">
        <is>
          <t>K</t>
        </is>
      </c>
      <c r="C74" s="6" t="inlineStr">
        <is>
          <t>P2</t>
        </is>
      </c>
      <c r="D74" s="6" t="inlineStr">
        <is>
          <t>Scene inject</t>
        </is>
      </c>
      <c r="E74" s="6" t="inlineStr">
        <is>
          <t>Live encounter</t>
        </is>
      </c>
      <c r="F74" s="6" t="inlineStr">
        <is>
          <t>Inject vitals.drop / code.blue</t>
        </is>
      </c>
      <c r="G74" s="6" t="inlineStr">
        <is>
          <t>Scene fires; vitals/alarms update</t>
        </is>
      </c>
      <c r="H74" s="6" t="inlineStr">
        <is>
          <t>Mac</t>
        </is>
      </c>
      <c r="I74" s="6" t="inlineStr"/>
      <c r="J74" s="6" t="inlineStr"/>
      <c r="K74" s="6" t="inlineStr"/>
      <c r="L74" s="6" t="inlineStr"/>
    </row>
    <row r="75">
      <c r="A75" s="5" t="inlineStr">
        <is>
          <t>L · Debrief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inlineStr">
        <is>
          <t>L1</t>
        </is>
      </c>
      <c r="B76" s="6" t="inlineStr">
        <is>
          <t>L</t>
        </is>
      </c>
      <c r="C76" s="7" t="inlineStr">
        <is>
          <t>P1</t>
        </is>
      </c>
      <c r="D76" s="6" t="inlineStr">
        <is>
          <t>Debrief builds after session</t>
        </is>
      </c>
      <c r="E76" s="6" t="inlineStr">
        <is>
          <t>Session w/ activity</t>
        </is>
      </c>
      <c r="F76" s="6" t="inlineStr">
        <is>
          <t>End session; open debrief</t>
        </is>
      </c>
      <c r="G76" s="6" t="inlineStr">
        <is>
          <t>Renders w/ summary + transcript</t>
        </is>
      </c>
      <c r="H76" s="6" t="inlineStr">
        <is>
          <t>Mac</t>
        </is>
      </c>
      <c r="I76" s="6" t="inlineStr"/>
      <c r="J76" s="6" t="inlineStr"/>
      <c r="K76" s="6" t="inlineStr"/>
      <c r="L76" s="6" t="inlineStr"/>
    </row>
    <row r="77">
      <c r="A77" s="6" t="inlineStr">
        <is>
          <t>L2</t>
        </is>
      </c>
      <c r="B77" s="6" t="inlineStr">
        <is>
          <t>L</t>
        </is>
      </c>
      <c r="C77" s="6" t="inlineStr">
        <is>
          <t>P2</t>
        </is>
      </c>
      <c r="D77" s="6" t="inlineStr">
        <is>
          <t>Paired turns + tagging</t>
        </is>
      </c>
      <c r="E77" s="6" t="inlineStr">
        <is>
          <t>Debrief open</t>
        </is>
      </c>
      <c r="F77" s="6" t="inlineStr">
        <is>
          <t>Inspect transcript</t>
        </is>
      </c>
      <c r="G77" s="6" t="inlineStr">
        <is>
          <t>Turns paired; NCJMM tagged</t>
        </is>
      </c>
      <c r="H77" s="6" t="inlineStr">
        <is>
          <t>Mac</t>
        </is>
      </c>
      <c r="I77" s="6" t="inlineStr"/>
      <c r="J77" s="6" t="inlineStr"/>
      <c r="K77" s="6" t="inlineStr"/>
      <c r="L77" s="6" t="inlineStr"/>
    </row>
    <row r="78">
      <c r="A78" s="6" t="inlineStr">
        <is>
          <t>L3</t>
        </is>
      </c>
      <c r="B78" s="6" t="inlineStr">
        <is>
          <t>L</t>
        </is>
      </c>
      <c r="C78" s="7" t="inlineStr">
        <is>
          <t>P1</t>
        </is>
      </c>
      <c r="D78" s="6" t="inlineStr">
        <is>
          <t>Staged-error arc section</t>
        </is>
      </c>
      <c r="E78" s="6" t="inlineStr">
        <is>
          <t>Errors resolved</t>
        </is>
      </c>
      <c r="F78" s="6" t="inlineStr">
        <is>
          <t>Inspect debrief</t>
        </is>
      </c>
      <c r="G78" s="6" t="inlineStr">
        <is>
          <t>Full staged-error arc + outcomes</t>
        </is>
      </c>
      <c r="H78" s="6" t="inlineStr">
        <is>
          <t>Mac</t>
        </is>
      </c>
      <c r="I78" s="6" t="inlineStr"/>
      <c r="J78" s="6" t="inlineStr"/>
      <c r="K78" s="6" t="inlineStr"/>
      <c r="L78" s="6" t="inlineStr"/>
    </row>
    <row r="79">
      <c r="A79" s="6" t="inlineStr">
        <is>
          <t>L4</t>
        </is>
      </c>
      <c r="B79" s="6" t="inlineStr">
        <is>
          <t>L</t>
        </is>
      </c>
      <c r="C79" s="6" t="inlineStr">
        <is>
          <t>P3</t>
        </is>
      </c>
      <c r="D79" s="6" t="inlineStr">
        <is>
          <t>Documentation / orders alignment</t>
        </is>
      </c>
      <c r="E79" s="6" t="inlineStr">
        <is>
          <t>Charting locked</t>
        </is>
      </c>
      <c r="F79" s="6" t="inlineStr">
        <is>
          <t>Inspect debrief</t>
        </is>
      </c>
      <c r="G79" s="6" t="inlineStr">
        <is>
          <t>Alignment cards populate</t>
        </is>
      </c>
      <c r="H79" s="6" t="inlineStr">
        <is>
          <t>Mac</t>
        </is>
      </c>
      <c r="I79" s="6" t="inlineStr"/>
      <c r="J79" s="6" t="inlineStr"/>
      <c r="K79" s="6" t="inlineStr"/>
      <c r="L79" s="6" t="inlineStr"/>
    </row>
    <row r="80">
      <c r="A80" s="6" t="inlineStr">
        <is>
          <t>L5</t>
        </is>
      </c>
      <c r="B80" s="6" t="inlineStr">
        <is>
          <t>L</t>
        </is>
      </c>
      <c r="C80" s="6" t="inlineStr">
        <is>
          <t>P2</t>
        </is>
      </c>
      <c r="D80" s="6" t="inlineStr">
        <is>
          <t>Per-patient debrief (multi)</t>
        </is>
      </c>
      <c r="E80" s="6" t="inlineStr">
        <is>
          <t>Room session</t>
        </is>
      </c>
      <c r="F80" s="6" t="inlineStr">
        <is>
          <t>Open each bed's debrief</t>
        </is>
      </c>
      <c r="G80" s="6" t="inlineStr">
        <is>
          <t>Each patient's debrief separate + correct</t>
        </is>
      </c>
      <c r="H80" s="6" t="inlineStr">
        <is>
          <t>Mac</t>
        </is>
      </c>
      <c r="I80" s="6" t="inlineStr"/>
      <c r="J80" s="6" t="inlineStr"/>
      <c r="K80" s="6" t="inlineStr"/>
      <c r="L80" s="6" t="inlineStr"/>
    </row>
    <row r="81">
      <c r="A81" s="5" t="inlineStr">
        <is>
          <t>M · Non-functional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inlineStr">
        <is>
          <t>M1</t>
        </is>
      </c>
      <c r="B82" s="6" t="inlineStr">
        <is>
          <t>M</t>
        </is>
      </c>
      <c r="C82" s="7" t="inlineStr">
        <is>
          <t>P1</t>
        </is>
      </c>
      <c r="D82" s="6" t="inlineStr">
        <is>
          <t>Audio never leaves device/room</t>
        </is>
      </c>
      <c r="E82" s="6" t="inlineStr">
        <is>
          <t>Any voice take</t>
        </is>
      </c>
      <c r="F82" s="6" t="inlineStr">
        <is>
          <t>Confirm STT routing</t>
        </is>
      </c>
      <c r="G82" s="6" t="inlineStr">
        <is>
          <t>On-device (iPad) or room Mac only; no third party</t>
        </is>
      </c>
      <c r="H82" s="6" t="inlineStr">
        <is>
          <t>iPad,Android,Mac</t>
        </is>
      </c>
      <c r="I82" s="6" t="inlineStr"/>
      <c r="J82" s="6" t="inlineStr"/>
      <c r="K82" s="6" t="inlineStr"/>
      <c r="L82" s="6" t="inlineStr"/>
    </row>
    <row r="83">
      <c r="A83" s="6" t="inlineStr">
        <is>
          <t>M2</t>
        </is>
      </c>
      <c r="B83" s="6" t="inlineStr">
        <is>
          <t>M</t>
        </is>
      </c>
      <c r="C83" s="6" t="inlineStr">
        <is>
          <t>P2</t>
        </is>
      </c>
      <c r="D83" s="6" t="inlineStr">
        <is>
          <t>Sustained 20-min session</t>
        </is>
      </c>
      <c r="E83" s="6" t="inlineStr">
        <is>
          <t>iPad avatar</t>
        </is>
      </c>
      <c r="F83" s="6" t="inlineStr">
        <is>
          <t>Run ~20 min continuous</t>
        </is>
      </c>
      <c r="G83" s="6" t="inlineStr">
        <is>
          <t>No thermal throttle / latency creep</t>
        </is>
      </c>
      <c r="H83" s="6" t="inlineStr">
        <is>
          <t>iPad</t>
        </is>
      </c>
      <c r="I83" s="6" t="inlineStr"/>
      <c r="J83" s="6" t="inlineStr"/>
      <c r="K83" s="6" t="inlineStr"/>
      <c r="L83" s="6" t="inlineStr"/>
    </row>
    <row r="84">
      <c r="A84" s="6" t="inlineStr">
        <is>
          <t>M3</t>
        </is>
      </c>
      <c r="B84" s="6" t="inlineStr">
        <is>
          <t>M</t>
        </is>
      </c>
      <c r="C84" s="6" t="inlineStr">
        <is>
          <t>P2</t>
        </is>
      </c>
      <c r="D84" s="6" t="inlineStr">
        <is>
          <t>Reconnection after blip</t>
        </is>
      </c>
      <c r="E84" s="6" t="inlineStr">
        <is>
          <t>Live session</t>
        </is>
      </c>
      <c r="F84" s="6" t="inlineStr">
        <is>
          <t>Drop + restore network</t>
        </is>
      </c>
      <c r="G84" s="6" t="inlineStr">
        <is>
          <t>Stations reconnect; session continues</t>
        </is>
      </c>
      <c r="H84" s="6" t="inlineStr">
        <is>
          <t>iPad,Android</t>
        </is>
      </c>
      <c r="I84" s="6" t="inlineStr"/>
      <c r="J84" s="6" t="inlineStr"/>
      <c r="K84" s="6" t="inlineStr"/>
      <c r="L84" s="6" t="inlineStr"/>
    </row>
    <row r="85">
      <c r="A85" s="6" t="inlineStr">
        <is>
          <t>M4</t>
        </is>
      </c>
      <c r="B85" s="6" t="inlineStr">
        <is>
          <t>M</t>
        </is>
      </c>
      <c r="C85" s="6" t="inlineStr">
        <is>
          <t>P3</t>
        </is>
      </c>
      <c r="D85" s="6" t="inlineStr">
        <is>
          <t>Device token enforcement (if on)</t>
        </is>
      </c>
      <c r="E85" s="6" t="inlineStr">
        <is>
          <t>MEDSIM_FACE_TOKEN=1</t>
        </is>
      </c>
      <c r="F85" s="6" t="inlineStr">
        <is>
          <t>Hit /listen or /stt w/o token</t>
        </is>
      </c>
      <c r="G85" s="6" t="inlineStr">
        <is>
          <t>403 rejected</t>
        </is>
      </c>
      <c r="H85" s="6" t="inlineStr">
        <is>
          <t>Mac</t>
        </is>
      </c>
      <c r="I85" s="6" t="inlineStr"/>
      <c r="J85" s="6" t="inlineStr"/>
      <c r="K85" s="6" t="inlineStr"/>
      <c r="L85" s="6" t="inlineStr"/>
    </row>
    <row r="86">
      <c r="A86" s="6" t="inlineStr">
        <is>
          <t>M5</t>
        </is>
      </c>
      <c r="B86" s="6" t="inlineStr">
        <is>
          <t>M</t>
        </is>
      </c>
      <c r="C86" s="7" t="inlineStr">
        <is>
          <t>P1</t>
        </is>
      </c>
      <c r="D86" s="6" t="inlineStr">
        <is>
          <t>Restart behavior understood</t>
        </is>
      </c>
      <c r="E86" s="6" t="inlineStr">
        <is>
          <t>Mid-session</t>
        </is>
      </c>
      <c r="F86" s="6" t="inlineStr">
        <is>
          <t>Restart the portal</t>
        </is>
      </c>
      <c r="G86" s="6" t="inlineStr">
        <is>
          <t>Known: session wiped → fresh Setup (FR-010 will improve)</t>
        </is>
      </c>
      <c r="H86" s="6" t="inlineStr">
        <is>
          <t>Mac</t>
        </is>
      </c>
      <c r="I86" s="6" t="inlineStr"/>
      <c r="J86" s="6" t="inlineStr"/>
      <c r="K86" s="6" t="inlineStr"/>
      <c r="L86" s="6" t="inlineStr"/>
    </row>
  </sheetData>
  <mergeCells count="13">
    <mergeCell ref="A81:L81"/>
    <mergeCell ref="A2:L2"/>
    <mergeCell ref="A15:L15"/>
    <mergeCell ref="A43:L43"/>
    <mergeCell ref="A33:L33"/>
    <mergeCell ref="A63:L63"/>
    <mergeCell ref="A75:L75"/>
    <mergeCell ref="A36:L36"/>
    <mergeCell ref="A58:L58"/>
    <mergeCell ref="A22:L22"/>
    <mergeCell ref="A9:L9"/>
    <mergeCell ref="A27:L27"/>
    <mergeCell ref="A69:L69"/>
  </mergeCells>
  <dataValidations count="1">
    <dataValidation sqref="I2:I86" showDropDown="0" showInputMessage="0" showErrorMessage="0" allowBlank="1" type="list">
      <formula1>"Pass,Fail,Blocked,Not run,N-A"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1" customWidth="1" min="4" max="4"/>
    <col width="30" customWidth="1" min="5" max="5"/>
    <col width="38" customWidth="1" min="6" max="6"/>
    <col width="28" customWidth="1" min="7" max="7"/>
    <col width="32" customWidth="1" min="8" max="8"/>
    <col width="28" customWidth="1" min="9" max="9"/>
    <col width="12" customWidth="1" min="10" max="10"/>
    <col width="12" customWidth="1" min="11" max="11"/>
    <col width="28" customWidth="1" min="12" max="12"/>
  </cols>
  <sheetData>
    <row r="1">
      <c r="A1" s="4" t="inlineStr">
        <is>
          <t>Issue ID</t>
        </is>
      </c>
      <c r="B1" s="4" t="inlineStr">
        <is>
          <t>Test ID</t>
        </is>
      </c>
      <c r="C1" s="4" t="inlineStr">
        <is>
          <t>Area</t>
        </is>
      </c>
      <c r="D1" s="4" t="inlineStr">
        <is>
          <t>Severity</t>
        </is>
      </c>
      <c r="E1" s="4" t="inlineStr">
        <is>
          <t>Title</t>
        </is>
      </c>
      <c r="F1" s="4" t="inlineStr">
        <is>
          <t>Steps to reproduce</t>
        </is>
      </c>
      <c r="G1" s="4" t="inlineStr">
        <is>
          <t>Expected</t>
        </is>
      </c>
      <c r="H1" s="4" t="inlineStr">
        <is>
          <t>Actual</t>
        </is>
      </c>
      <c r="I1" s="4" t="inlineStr">
        <is>
          <t>Environment (device/OS/browser/network)</t>
        </is>
      </c>
      <c r="J1" s="4" t="inlineStr">
        <is>
          <t>Status</t>
        </is>
      </c>
      <c r="K1" s="4" t="inlineStr">
        <is>
          <t>Date found</t>
        </is>
      </c>
      <c r="L1" s="4" t="inlineStr">
        <is>
          <t>Resolution / commit</t>
        </is>
      </c>
    </row>
    <row r="2">
      <c r="A2" s="8" t="inlineStr">
        <is>
          <t>ISS-001</t>
        </is>
      </c>
      <c r="B2" s="8" t="inlineStr">
        <is>
          <t>H7</t>
        </is>
      </c>
      <c r="C2" s="8" t="inlineStr">
        <is>
          <t>Staged errors</t>
        </is>
      </c>
      <c r="D2" s="8" t="inlineStr">
        <is>
          <t>Medium</t>
        </is>
      </c>
      <c r="E2" s="8" t="inlineStr">
        <is>
          <t>(EXAMPLE) Stabilize left the symptom prompt active</t>
        </is>
      </c>
      <c r="F2" s="8" t="inlineStr">
        <is>
          <t>Arm allergy error w/ moderate impact; Trigger; then Stabilize</t>
        </is>
      </c>
      <c r="G2" s="8" t="inlineStr">
        <is>
          <t>Patient returns to baseline AND symptom prompt clears</t>
        </is>
      </c>
      <c r="H2" s="8" t="inlineStr">
        <is>
          <t>Vitals reverted but the character mentioned itching one more turn</t>
        </is>
      </c>
      <c r="I2" s="8" t="inlineStr">
        <is>
          <t>iPad Safari 26 / Beryl LAN</t>
        </is>
      </c>
      <c r="J2" s="8" t="inlineStr">
        <is>
          <t>New</t>
        </is>
      </c>
      <c r="K2" s="8" t="inlineStr">
        <is>
          <t>2026-06-13</t>
        </is>
      </c>
      <c r="L2" s="8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</row>
  </sheetData>
  <dataValidations count="2">
    <dataValidation sqref="D2:D62" showDropDown="0" showInputMessage="0" showErrorMessage="0" allowBlank="1" type="list">
      <formula1>"Critical,High,Medium,Low"</formula1>
    </dataValidation>
    <dataValidation sqref="J2:J62" showDropDown="0" showInputMessage="0" showErrorMessage="0" allowBlank="1" type="list">
      <formula1>"New,Acknowledged,In progress,Fixed,Verified"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0" customWidth="1" min="7" max="7"/>
  </cols>
  <sheetData>
    <row r="1">
      <c r="A1" s="4" t="inlineStr">
        <is>
          <t>Area</t>
        </is>
      </c>
      <c r="B1" s="4" t="inlineStr">
        <is>
          <t>Tests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run</t>
        </is>
      </c>
      <c r="G1" s="4" t="inlineStr">
        <is>
          <t>% pass</t>
        </is>
      </c>
    </row>
    <row r="2">
      <c r="A2" s="9" t="inlineStr">
        <is>
          <t>A · Network &amp; pairing (FR-004)</t>
        </is>
      </c>
      <c r="B2" s="9">
        <f>COUNTIF('Test Matrix'!$B:$B,"A")</f>
        <v/>
      </c>
      <c r="C2" s="9">
        <f>COUNTIFS('Test Matrix'!$B:$B,"A",'Test Matrix'!$I:$I,"Pass")</f>
        <v/>
      </c>
      <c r="D2" s="9">
        <f>COUNTIFS('Test Matrix'!$B:$B,"A",'Test Matrix'!$I:$I,"Fail")</f>
        <v/>
      </c>
      <c r="E2" s="9">
        <f>COUNTIFS('Test Matrix'!$B:$B,"A",'Test Matrix'!$I:$I,"Blocked")</f>
        <v/>
      </c>
      <c r="F2" s="9">
        <f>COUNTIFS('Test Matrix'!$B:$B,"A",'Test Matrix'!$I:$I,"Not run")</f>
        <v/>
      </c>
      <c r="G2" s="10">
        <f>IF(B2=0,0,C2/B2)</f>
        <v/>
      </c>
    </row>
    <row r="3">
      <c r="A3" s="9" t="inlineStr">
        <is>
          <t>B · Avatar tablet (FR-006)</t>
        </is>
      </c>
      <c r="B3" s="9">
        <f>COUNTIF('Test Matrix'!$B:$B,"B")</f>
        <v/>
      </c>
      <c r="C3" s="9">
        <f>COUNTIFS('Test Matrix'!$B:$B,"B",'Test Matrix'!$I:$I,"Pass")</f>
        <v/>
      </c>
      <c r="D3" s="9">
        <f>COUNTIFS('Test Matrix'!$B:$B,"B",'Test Matrix'!$I:$I,"Fail")</f>
        <v/>
      </c>
      <c r="E3" s="9">
        <f>COUNTIFS('Test Matrix'!$B:$B,"B",'Test Matrix'!$I:$I,"Blocked")</f>
        <v/>
      </c>
      <c r="F3" s="9">
        <f>COUNTIFS('Test Matrix'!$B:$B,"B",'Test Matrix'!$I:$I,"Not run")</f>
        <v/>
      </c>
      <c r="G3" s="10">
        <f>IF(B3=0,0,C3/B3)</f>
        <v/>
      </c>
    </row>
    <row r="4">
      <c r="A4" s="9" t="inlineStr">
        <is>
          <t>C · Audio station (FR-006b)</t>
        </is>
      </c>
      <c r="B4" s="9">
        <f>COUNTIF('Test Matrix'!$B:$B,"C")</f>
        <v/>
      </c>
      <c r="C4" s="9">
        <f>COUNTIFS('Test Matrix'!$B:$B,"C",'Test Matrix'!$I:$I,"Pass")</f>
        <v/>
      </c>
      <c r="D4" s="9">
        <f>COUNTIFS('Test Matrix'!$B:$B,"C",'Test Matrix'!$I:$I,"Fail")</f>
        <v/>
      </c>
      <c r="E4" s="9">
        <f>COUNTIFS('Test Matrix'!$B:$B,"C",'Test Matrix'!$I:$I,"Blocked")</f>
        <v/>
      </c>
      <c r="F4" s="9">
        <f>COUNTIFS('Test Matrix'!$B:$B,"C",'Test Matrix'!$I:$I,"Not run")</f>
        <v/>
      </c>
      <c r="G4" s="10">
        <f>IF(B4=0,0,C4/B4)</f>
        <v/>
      </c>
    </row>
    <row r="5">
      <c r="A5" s="9" t="inlineStr">
        <is>
          <t>D · Voice loop end-to-end</t>
        </is>
      </c>
      <c r="B5" s="9">
        <f>COUNTIF('Test Matrix'!$B:$B,"D")</f>
        <v/>
      </c>
      <c r="C5" s="9">
        <f>COUNTIFS('Test Matrix'!$B:$B,"D",'Test Matrix'!$I:$I,"Pass")</f>
        <v/>
      </c>
      <c r="D5" s="9">
        <f>COUNTIFS('Test Matrix'!$B:$B,"D",'Test Matrix'!$I:$I,"Fail")</f>
        <v/>
      </c>
      <c r="E5" s="9">
        <f>COUNTIFS('Test Matrix'!$B:$B,"D",'Test Matrix'!$I:$I,"Blocked")</f>
        <v/>
      </c>
      <c r="F5" s="9">
        <f>COUNTIFS('Test Matrix'!$B:$B,"D",'Test Matrix'!$I:$I,"Not run")</f>
        <v/>
      </c>
      <c r="G5" s="10">
        <f>IF(B5=0,0,C5/B5)</f>
        <v/>
      </c>
    </row>
    <row r="6">
      <c r="A6" s="9" t="inlineStr">
        <is>
          <t>E · Control room (FR-005)</t>
        </is>
      </c>
      <c r="B6" s="9">
        <f>COUNTIF('Test Matrix'!$B:$B,"E")</f>
        <v/>
      </c>
      <c r="C6" s="9">
        <f>COUNTIFS('Test Matrix'!$B:$B,"E",'Test Matrix'!$I:$I,"Pass")</f>
        <v/>
      </c>
      <c r="D6" s="9">
        <f>COUNTIFS('Test Matrix'!$B:$B,"E",'Test Matrix'!$I:$I,"Fail")</f>
        <v/>
      </c>
      <c r="E6" s="9">
        <f>COUNTIFS('Test Matrix'!$B:$B,"E",'Test Matrix'!$I:$I,"Blocked")</f>
        <v/>
      </c>
      <c r="F6" s="9">
        <f>COUNTIFS('Test Matrix'!$B:$B,"E",'Test Matrix'!$I:$I,"Not run")</f>
        <v/>
      </c>
      <c r="G6" s="10">
        <f>IF(B6=0,0,C6/B6)</f>
        <v/>
      </c>
    </row>
    <row r="7">
      <c r="A7" s="9" t="inlineStr">
        <is>
          <t>F · Say-as-character (FR-003)</t>
        </is>
      </c>
      <c r="B7" s="9">
        <f>COUNTIF('Test Matrix'!$B:$B,"F")</f>
        <v/>
      </c>
      <c r="C7" s="9">
        <f>COUNTIFS('Test Matrix'!$B:$B,"F",'Test Matrix'!$I:$I,"Pass")</f>
        <v/>
      </c>
      <c r="D7" s="9">
        <f>COUNTIFS('Test Matrix'!$B:$B,"F",'Test Matrix'!$I:$I,"Fail")</f>
        <v/>
      </c>
      <c r="E7" s="9">
        <f>COUNTIFS('Test Matrix'!$B:$B,"F",'Test Matrix'!$I:$I,"Blocked")</f>
        <v/>
      </c>
      <c r="F7" s="9">
        <f>COUNTIFS('Test Matrix'!$B:$B,"F",'Test Matrix'!$I:$I,"Not run")</f>
        <v/>
      </c>
      <c r="G7" s="10">
        <f>IF(B7=0,0,C7/B7)</f>
        <v/>
      </c>
    </row>
    <row r="8">
      <c r="A8" s="9" t="inlineStr">
        <is>
          <t>G · Med ordering (FR-001/002)</t>
        </is>
      </c>
      <c r="B8" s="9">
        <f>COUNTIF('Test Matrix'!$B:$B,"G")</f>
        <v/>
      </c>
      <c r="C8" s="9">
        <f>COUNTIFS('Test Matrix'!$B:$B,"G",'Test Matrix'!$I:$I,"Pass")</f>
        <v/>
      </c>
      <c r="D8" s="9">
        <f>COUNTIFS('Test Matrix'!$B:$B,"G",'Test Matrix'!$I:$I,"Fail")</f>
        <v/>
      </c>
      <c r="E8" s="9">
        <f>COUNTIFS('Test Matrix'!$B:$B,"G",'Test Matrix'!$I:$I,"Blocked")</f>
        <v/>
      </c>
      <c r="F8" s="9">
        <f>COUNTIFS('Test Matrix'!$B:$B,"G",'Test Matrix'!$I:$I,"Not run")</f>
        <v/>
      </c>
      <c r="G8" s="10">
        <f>IF(B8=0,0,C8/B8)</f>
        <v/>
      </c>
    </row>
    <row r="9">
      <c r="A9" s="9" t="inlineStr">
        <is>
          <t>H · Staged errors (FR-008)</t>
        </is>
      </c>
      <c r="B9" s="9">
        <f>COUNTIF('Test Matrix'!$B:$B,"H")</f>
        <v/>
      </c>
      <c r="C9" s="9">
        <f>COUNTIFS('Test Matrix'!$B:$B,"H",'Test Matrix'!$I:$I,"Pass")</f>
        <v/>
      </c>
      <c r="D9" s="9">
        <f>COUNTIFS('Test Matrix'!$B:$B,"H",'Test Matrix'!$I:$I,"Fail")</f>
        <v/>
      </c>
      <c r="E9" s="9">
        <f>COUNTIFS('Test Matrix'!$B:$B,"H",'Test Matrix'!$I:$I,"Blocked")</f>
        <v/>
      </c>
      <c r="F9" s="9">
        <f>COUNTIFS('Test Matrix'!$B:$B,"H",'Test Matrix'!$I:$I,"Not run")</f>
        <v/>
      </c>
      <c r="G9" s="10">
        <f>IF(B9=0,0,C9/B9)</f>
        <v/>
      </c>
    </row>
    <row r="10">
      <c r="A10" s="9" t="inlineStr">
        <is>
          <t>I · EHR / Medical Records</t>
        </is>
      </c>
      <c r="B10" s="9">
        <f>COUNTIF('Test Matrix'!$B:$B,"I")</f>
        <v/>
      </c>
      <c r="C10" s="9">
        <f>COUNTIFS('Test Matrix'!$B:$B,"I",'Test Matrix'!$I:$I,"Pass")</f>
        <v/>
      </c>
      <c r="D10" s="9">
        <f>COUNTIFS('Test Matrix'!$B:$B,"I",'Test Matrix'!$I:$I,"Fail")</f>
        <v/>
      </c>
      <c r="E10" s="9">
        <f>COUNTIFS('Test Matrix'!$B:$B,"I",'Test Matrix'!$I:$I,"Blocked")</f>
        <v/>
      </c>
      <c r="F10" s="9">
        <f>COUNTIFS('Test Matrix'!$B:$B,"I",'Test Matrix'!$I:$I,"Not run")</f>
        <v/>
      </c>
      <c r="G10" s="10">
        <f>IF(B10=0,0,C10/B10)</f>
        <v/>
      </c>
    </row>
    <row r="11">
      <c r="A11" s="9" t="inlineStr">
        <is>
          <t>J · Multi-patient / room</t>
        </is>
      </c>
      <c r="B11" s="9">
        <f>COUNTIF('Test Matrix'!$B:$B,"J")</f>
        <v/>
      </c>
      <c r="C11" s="9">
        <f>COUNTIFS('Test Matrix'!$B:$B,"J",'Test Matrix'!$I:$I,"Pass")</f>
        <v/>
      </c>
      <c r="D11" s="9">
        <f>COUNTIFS('Test Matrix'!$B:$B,"J",'Test Matrix'!$I:$I,"Fail")</f>
        <v/>
      </c>
      <c r="E11" s="9">
        <f>COUNTIFS('Test Matrix'!$B:$B,"J",'Test Matrix'!$I:$I,"Blocked")</f>
        <v/>
      </c>
      <c r="F11" s="9">
        <f>COUNTIFS('Test Matrix'!$B:$B,"J",'Test Matrix'!$I:$I,"Not run")</f>
        <v/>
      </c>
      <c r="G11" s="10">
        <f>IF(B11=0,0,C11/B11)</f>
        <v/>
      </c>
    </row>
    <row r="12">
      <c r="A12" s="9" t="inlineStr">
        <is>
          <t>K · Devices</t>
        </is>
      </c>
      <c r="B12" s="9">
        <f>COUNTIF('Test Matrix'!$B:$B,"K")</f>
        <v/>
      </c>
      <c r="C12" s="9">
        <f>COUNTIFS('Test Matrix'!$B:$B,"K",'Test Matrix'!$I:$I,"Pass")</f>
        <v/>
      </c>
      <c r="D12" s="9">
        <f>COUNTIFS('Test Matrix'!$B:$B,"K",'Test Matrix'!$I:$I,"Fail")</f>
        <v/>
      </c>
      <c r="E12" s="9">
        <f>COUNTIFS('Test Matrix'!$B:$B,"K",'Test Matrix'!$I:$I,"Blocked")</f>
        <v/>
      </c>
      <c r="F12" s="9">
        <f>COUNTIFS('Test Matrix'!$B:$B,"K",'Test Matrix'!$I:$I,"Not run")</f>
        <v/>
      </c>
      <c r="G12" s="10">
        <f>IF(B12=0,0,C12/B12)</f>
        <v/>
      </c>
    </row>
    <row r="13">
      <c r="A13" s="9" t="inlineStr">
        <is>
          <t>L · Debrief</t>
        </is>
      </c>
      <c r="B13" s="9">
        <f>COUNTIF('Test Matrix'!$B:$B,"L")</f>
        <v/>
      </c>
      <c r="C13" s="9">
        <f>COUNTIFS('Test Matrix'!$B:$B,"L",'Test Matrix'!$I:$I,"Pass")</f>
        <v/>
      </c>
      <c r="D13" s="9">
        <f>COUNTIFS('Test Matrix'!$B:$B,"L",'Test Matrix'!$I:$I,"Fail")</f>
        <v/>
      </c>
      <c r="E13" s="9">
        <f>COUNTIFS('Test Matrix'!$B:$B,"L",'Test Matrix'!$I:$I,"Blocked")</f>
        <v/>
      </c>
      <c r="F13" s="9">
        <f>COUNTIFS('Test Matrix'!$B:$B,"L",'Test Matrix'!$I:$I,"Not run")</f>
        <v/>
      </c>
      <c r="G13" s="10">
        <f>IF(B13=0,0,C13/B13)</f>
        <v/>
      </c>
    </row>
    <row r="14">
      <c r="A14" s="9" t="inlineStr">
        <is>
          <t>M · Non-functional</t>
        </is>
      </c>
      <c r="B14" s="9">
        <f>COUNTIF('Test Matrix'!$B:$B,"M")</f>
        <v/>
      </c>
      <c r="C14" s="9">
        <f>COUNTIFS('Test Matrix'!$B:$B,"M",'Test Matrix'!$I:$I,"Pass")</f>
        <v/>
      </c>
      <c r="D14" s="9">
        <f>COUNTIFS('Test Matrix'!$B:$B,"M",'Test Matrix'!$I:$I,"Fail")</f>
        <v/>
      </c>
      <c r="E14" s="9">
        <f>COUNTIFS('Test Matrix'!$B:$B,"M",'Test Matrix'!$I:$I,"Blocked")</f>
        <v/>
      </c>
      <c r="F14" s="9">
        <f>COUNTIFS('Test Matrix'!$B:$B,"M",'Test Matrix'!$I:$I,"Not run")</f>
        <v/>
      </c>
      <c r="G14" s="10">
        <f>IF(B14=0,0,C14/B14)</f>
        <v/>
      </c>
    </row>
    <row r="15">
      <c r="A15" s="11" t="inlineStr">
        <is>
          <t>TOTAL</t>
        </is>
      </c>
      <c r="B15" s="11">
        <f>SUM(B2:B14)</f>
        <v/>
      </c>
      <c r="C15" s="11">
        <f>SUM(C2:C14)</f>
        <v/>
      </c>
      <c r="D15" s="11">
        <f>SUM(D2:D14)</f>
        <v/>
      </c>
      <c r="E15" s="11">
        <f>SUM(E2:E14)</f>
        <v/>
      </c>
      <c r="F15" s="11">
        <f>SUM(F2:F14)</f>
        <v/>
      </c>
      <c r="G15" s="12">
        <f>IF(B15=0,0,C15/B15)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6" customWidth="1" min="4" max="4"/>
    <col width="12" customWidth="1" min="5" max="5"/>
    <col width="16" customWidth="1" min="6" max="6"/>
    <col width="28" customWidth="1" min="7" max="7"/>
  </cols>
  <sheetData>
    <row r="1">
      <c r="A1" s="4" t="inlineStr">
        <is>
          <t>Device / role</t>
        </is>
      </c>
      <c r="B1" s="4" t="inlineStr">
        <is>
          <t>Model</t>
        </is>
      </c>
      <c r="C1" s="4" t="inlineStr">
        <is>
          <t>OS / browser</t>
        </is>
      </c>
      <c r="D1" s="4" t="inlineStr">
        <is>
          <t>IP or join</t>
        </is>
      </c>
      <c r="E1" s="4" t="inlineStr">
        <is>
          <t>CA trusted?</t>
        </is>
      </c>
      <c r="F1" s="4" t="inlineStr">
        <is>
          <t>Private-MAC OFF?</t>
        </is>
      </c>
      <c r="G1" s="4" t="inlineStr">
        <is>
          <t>Notes</t>
        </is>
      </c>
    </row>
    <row r="2">
      <c r="A2" s="9" t="inlineStr">
        <is>
          <t>Portal (Mac)</t>
        </is>
      </c>
      <c r="B2" s="9" t="inlineStr"/>
      <c r="C2" s="9" t="inlineStr">
        <is>
          <t>macOS</t>
        </is>
      </c>
      <c r="D2" s="9" t="inlineStr">
        <is>
          <t>192.168.x.x</t>
        </is>
      </c>
      <c r="E2" s="9" t="inlineStr">
        <is>
          <t>n/a</t>
        </is>
      </c>
      <c r="F2" s="9" t="inlineStr">
        <is>
          <t>n/a</t>
        </is>
      </c>
      <c r="G2" s="9" t="inlineStr">
        <is>
          <t>run preflight.sh first</t>
        </is>
      </c>
    </row>
    <row r="3">
      <c r="A3" s="9" t="inlineStr">
        <is>
          <t>Avatar tablet</t>
        </is>
      </c>
      <c r="B3" s="9" t="inlineStr">
        <is>
          <t>iPad</t>
        </is>
      </c>
      <c r="C3" s="9" t="inlineStr">
        <is>
          <t>Safari 26</t>
        </is>
      </c>
      <c r="D3" s="9" t="inlineStr"/>
      <c r="E3" s="9" t="inlineStr"/>
      <c r="F3" s="9" t="inlineStr"/>
      <c r="G3" s="9" t="inlineStr"/>
    </row>
    <row r="4">
      <c r="A4" s="9" t="inlineStr">
        <is>
          <t>Audio station</t>
        </is>
      </c>
      <c r="B4" s="9" t="inlineStr">
        <is>
          <t>Android</t>
        </is>
      </c>
      <c r="C4" s="9" t="inlineStr">
        <is>
          <t>Chrome</t>
        </is>
      </c>
      <c r="D4" s="9" t="inlineStr"/>
      <c r="E4" s="9" t="inlineStr"/>
      <c r="F4" s="9" t="inlineStr"/>
      <c r="G4" s="9" t="inlineStr"/>
    </row>
    <row r="5">
      <c r="A5" s="9" t="inlineStr">
        <is>
          <t>Device station</t>
        </is>
      </c>
      <c r="B5" s="9" t="inlineStr"/>
      <c r="C5" s="9" t="inlineStr"/>
      <c r="D5" s="9" t="inlineStr"/>
      <c r="E5" s="9" t="inlineStr"/>
      <c r="F5" s="9" t="inlineStr"/>
      <c r="G5" s="9" t="inlineStr"/>
    </row>
    <row r="6">
      <c r="A6" s="9" t="inlineStr">
        <is>
          <t>Router</t>
        </is>
      </c>
      <c r="B6" s="9" t="inlineStr">
        <is>
          <t>Beryl AX</t>
        </is>
      </c>
      <c r="C6" s="9" t="inlineStr"/>
      <c r="D6" s="9" t="inlineStr">
        <is>
          <t>192.168.8.1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bind Mac IP (static lease)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2026-06-13T20:32:32Z</dcterms:created>
  <dcterms:modified xsi:type="dcterms:W3CDTF">2026-06-13T20:32:32Z</dcterms:modified>
</cp:coreProperties>
</file>